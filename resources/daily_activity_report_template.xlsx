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ordex.sharepoint.com/sites/0BLSFieldSupport/Shared Documents/Projects/Projects/Sarper/Daily Activity Report/"/>
    </mc:Choice>
  </mc:AlternateContent>
  <xr:revisionPtr revIDLastSave="79" documentId="8_{E8B260FD-A61D-47CB-B924-3229F4DEF97E}" xr6:coauthVersionLast="47" xr6:coauthVersionMax="47" xr10:uidLastSave="{BF53EBE9-4E39-4B52-BF99-6E9DDE5FFAA0}"/>
  <workbookProtection workbookAlgorithmName="SHA-512" workbookHashValue="b3Iee4nBpelQtpIsZgGdYamvdPnAGleBjpP3m5Pgqrr7y2fB4h0WA3HiMyZSfGxV2LUb73J9cqFb3l9oETP5XQ==" workbookSaltValue="7e3qGLbG4ckPGt42e74VXg==" workbookSpinCount="100000" lockStructure="1"/>
  <bookViews>
    <workbookView xWindow="-110" yWindow="-110" windowWidth="19420" windowHeight="10300" tabRatio="610" xr2:uid="{00000000-000D-0000-FFFF-FFFF00000000}"/>
  </bookViews>
  <sheets>
    <sheet name="Activities" sheetId="9" r:id="rId1"/>
    <sheet name="ReadMe" sheetId="10" r:id="rId2"/>
    <sheet name="dropdowns" sheetId="7" state="hidden" r:id="rId3"/>
    <sheet name="Variables" sheetId="3" state="hidden" r:id="rId4"/>
  </sheets>
  <definedNames>
    <definedName name="Curing">Table9[Meters]</definedName>
    <definedName name="Grind">Table9[Meters]</definedName>
    <definedName name="Inspection_EOW">Table11[External Inspection]</definedName>
    <definedName name="Inspection_External">Table11[External Inspection]</definedName>
    <definedName name="Inspection_Internal">Table11[External Inspection]</definedName>
    <definedName name="Inspection_LPS">Table11[External Inspection]</definedName>
    <definedName name="Laminate">Table9[Meters]</definedName>
    <definedName name="Preparation">Table4[PREPARATION]</definedName>
    <definedName name="Repair_Coating">Table9[Meters]</definedName>
    <definedName name="Repair_LEP">Table9[Meters]</definedName>
    <definedName name="Repair_SN">#REF!</definedName>
    <definedName name="Repair_TI">#REF!</definedName>
    <definedName name="Rework_of_Repairs">Table5[Rework]</definedName>
    <definedName name="Standby">Table6[STANDBY]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6" i="9" l="1"/>
  <c r="X6" i="9"/>
  <c r="W7" i="9"/>
  <c r="X7" i="9"/>
  <c r="W8" i="9"/>
  <c r="X8" i="9"/>
  <c r="W9" i="9"/>
  <c r="X9" i="9"/>
  <c r="Y9" i="9" s="1"/>
  <c r="W10" i="9"/>
  <c r="Y10" i="9" s="1"/>
  <c r="X10" i="9"/>
  <c r="W11" i="9"/>
  <c r="X11" i="9"/>
  <c r="W12" i="9"/>
  <c r="X12" i="9"/>
  <c r="Y12" i="9"/>
  <c r="W13" i="9"/>
  <c r="X13" i="9"/>
  <c r="W14" i="9"/>
  <c r="X14" i="9"/>
  <c r="W15" i="9"/>
  <c r="X15" i="9"/>
  <c r="W16" i="9"/>
  <c r="X16" i="9"/>
  <c r="Y16" i="9" s="1"/>
  <c r="W17" i="9"/>
  <c r="X17" i="9"/>
  <c r="W18" i="9"/>
  <c r="X18" i="9"/>
  <c r="W19" i="9"/>
  <c r="X19" i="9"/>
  <c r="W20" i="9"/>
  <c r="X20" i="9"/>
  <c r="W21" i="9"/>
  <c r="X21" i="9"/>
  <c r="W22" i="9"/>
  <c r="X22" i="9"/>
  <c r="W23" i="9"/>
  <c r="X23" i="9"/>
  <c r="W24" i="9"/>
  <c r="X24" i="9"/>
  <c r="W25" i="9"/>
  <c r="X25" i="9"/>
  <c r="W26" i="9"/>
  <c r="X26" i="9"/>
  <c r="W27" i="9"/>
  <c r="X27" i="9"/>
  <c r="W28" i="9"/>
  <c r="X28" i="9"/>
  <c r="W29" i="9"/>
  <c r="X29" i="9"/>
  <c r="Y29" i="9"/>
  <c r="W30" i="9"/>
  <c r="X30" i="9"/>
  <c r="W31" i="9"/>
  <c r="X31" i="9"/>
  <c r="W32" i="9"/>
  <c r="X32" i="9"/>
  <c r="Y32" i="9" s="1"/>
  <c r="W33" i="9"/>
  <c r="X33" i="9"/>
  <c r="Y33" i="9" s="1"/>
  <c r="W34" i="9"/>
  <c r="X34" i="9"/>
  <c r="W35" i="9"/>
  <c r="X35" i="9"/>
  <c r="W36" i="9"/>
  <c r="X36" i="9"/>
  <c r="Y36" i="9" s="1"/>
  <c r="W37" i="9"/>
  <c r="X37" i="9"/>
  <c r="Y37" i="9" s="1"/>
  <c r="W38" i="9"/>
  <c r="Y38" i="9" s="1"/>
  <c r="X38" i="9"/>
  <c r="W39" i="9"/>
  <c r="X39" i="9"/>
  <c r="W40" i="9"/>
  <c r="X40" i="9"/>
  <c r="Y40" i="9"/>
  <c r="W41" i="9"/>
  <c r="X41" i="9"/>
  <c r="Y41" i="9" s="1"/>
  <c r="W42" i="9"/>
  <c r="X42" i="9"/>
  <c r="W43" i="9"/>
  <c r="X43" i="9"/>
  <c r="W44" i="9"/>
  <c r="X44" i="9"/>
  <c r="Y44" i="9" s="1"/>
  <c r="W45" i="9"/>
  <c r="X45" i="9"/>
  <c r="W46" i="9"/>
  <c r="X46" i="9"/>
  <c r="W47" i="9"/>
  <c r="X47" i="9"/>
  <c r="W48" i="9"/>
  <c r="X48" i="9"/>
  <c r="Y48" i="9"/>
  <c r="W49" i="9"/>
  <c r="X49" i="9"/>
  <c r="Y49" i="9"/>
  <c r="W50" i="9"/>
  <c r="Y50" i="9" s="1"/>
  <c r="X50" i="9"/>
  <c r="W51" i="9"/>
  <c r="X51" i="9"/>
  <c r="W52" i="9"/>
  <c r="X52" i="9"/>
  <c r="Y52" i="9" s="1"/>
  <c r="W53" i="9"/>
  <c r="X53" i="9"/>
  <c r="Y53" i="9"/>
  <c r="W54" i="9"/>
  <c r="X54" i="9"/>
  <c r="W55" i="9"/>
  <c r="Y55" i="9" s="1"/>
  <c r="X55" i="9"/>
  <c r="W56" i="9"/>
  <c r="X56" i="9"/>
  <c r="Y56" i="9" s="1"/>
  <c r="W57" i="9"/>
  <c r="X57" i="9"/>
  <c r="Y57" i="9" s="1"/>
  <c r="W58" i="9"/>
  <c r="X58" i="9"/>
  <c r="W59" i="9"/>
  <c r="X59" i="9"/>
  <c r="W60" i="9"/>
  <c r="X60" i="9"/>
  <c r="Y60" i="9"/>
  <c r="W61" i="9"/>
  <c r="X61" i="9"/>
  <c r="Y61" i="9" s="1"/>
  <c r="W62" i="9"/>
  <c r="Y62" i="9" s="1"/>
  <c r="X62" i="9"/>
  <c r="W63" i="9"/>
  <c r="X63" i="9"/>
  <c r="W64" i="9"/>
  <c r="X64" i="9"/>
  <c r="Y64" i="9"/>
  <c r="W65" i="9"/>
  <c r="X65" i="9"/>
  <c r="Y65" i="9" s="1"/>
  <c r="W66" i="9"/>
  <c r="X66" i="9"/>
  <c r="W67" i="9"/>
  <c r="X67" i="9"/>
  <c r="W68" i="9"/>
  <c r="X68" i="9"/>
  <c r="Y68" i="9" s="1"/>
  <c r="W69" i="9"/>
  <c r="X69" i="9"/>
  <c r="Y69" i="9" s="1"/>
  <c r="W70" i="9"/>
  <c r="X70" i="9"/>
  <c r="W71" i="9"/>
  <c r="X71" i="9"/>
  <c r="W72" i="9"/>
  <c r="Y72" i="9" s="1"/>
  <c r="X72" i="9"/>
  <c r="W73" i="9"/>
  <c r="Y73" i="9" s="1"/>
  <c r="X73" i="9"/>
  <c r="W74" i="9"/>
  <c r="X74" i="9"/>
  <c r="W75" i="9"/>
  <c r="X75" i="9"/>
  <c r="W76" i="9"/>
  <c r="X76" i="9"/>
  <c r="Y76" i="9"/>
  <c r="W77" i="9"/>
  <c r="X77" i="9"/>
  <c r="Y77" i="9"/>
  <c r="W78" i="9"/>
  <c r="X78" i="9"/>
  <c r="W79" i="9"/>
  <c r="X79" i="9"/>
  <c r="W80" i="9"/>
  <c r="Y80" i="9" s="1"/>
  <c r="X80" i="9"/>
  <c r="W81" i="9"/>
  <c r="Y81" i="9" s="1"/>
  <c r="X81" i="9"/>
  <c r="W82" i="9"/>
  <c r="X82" i="9"/>
  <c r="W83" i="9"/>
  <c r="X83" i="9"/>
  <c r="W84" i="9"/>
  <c r="X84" i="9"/>
  <c r="Y84" i="9"/>
  <c r="W85" i="9"/>
  <c r="X85" i="9"/>
  <c r="Y85" i="9"/>
  <c r="W86" i="9"/>
  <c r="Y86" i="9" s="1"/>
  <c r="X86" i="9"/>
  <c r="W87" i="9"/>
  <c r="X87" i="9"/>
  <c r="W88" i="9"/>
  <c r="Y88" i="9" s="1"/>
  <c r="X88" i="9"/>
  <c r="W89" i="9"/>
  <c r="X89" i="9"/>
  <c r="Y89" i="9"/>
  <c r="W90" i="9"/>
  <c r="X90" i="9"/>
  <c r="W91" i="9"/>
  <c r="Y91" i="9" s="1"/>
  <c r="X91" i="9"/>
  <c r="W92" i="9"/>
  <c r="Y92" i="9" s="1"/>
  <c r="X92" i="9"/>
  <c r="W93" i="9"/>
  <c r="Y93" i="9" s="1"/>
  <c r="X93" i="9"/>
  <c r="W94" i="9"/>
  <c r="X94" i="9"/>
  <c r="W95" i="9"/>
  <c r="X95" i="9"/>
  <c r="W96" i="9"/>
  <c r="Y96" i="9" s="1"/>
  <c r="X96" i="9"/>
  <c r="W97" i="9"/>
  <c r="Y97" i="9" s="1"/>
  <c r="X97" i="9"/>
  <c r="W98" i="9"/>
  <c r="X98" i="9"/>
  <c r="W99" i="9"/>
  <c r="X99" i="9"/>
  <c r="W100" i="9"/>
  <c r="X100" i="9"/>
  <c r="Y100" i="9"/>
  <c r="W101" i="9"/>
  <c r="X101" i="9"/>
  <c r="Y101" i="9"/>
  <c r="W102" i="9"/>
  <c r="X102" i="9"/>
  <c r="W103" i="9"/>
  <c r="X103" i="9"/>
  <c r="W104" i="9"/>
  <c r="Y104" i="9" s="1"/>
  <c r="X104" i="9"/>
  <c r="W105" i="9"/>
  <c r="Y105" i="9" s="1"/>
  <c r="X105" i="9"/>
  <c r="W106" i="9"/>
  <c r="X106" i="9"/>
  <c r="W107" i="9"/>
  <c r="X107" i="9"/>
  <c r="W108" i="9"/>
  <c r="X108" i="9"/>
  <c r="Y108" i="9"/>
  <c r="W109" i="9"/>
  <c r="X109" i="9"/>
  <c r="Y109" i="9"/>
  <c r="W110" i="9"/>
  <c r="Y110" i="9" s="1"/>
  <c r="X110" i="9"/>
  <c r="W111" i="9"/>
  <c r="X111" i="9"/>
  <c r="W112" i="9"/>
  <c r="Y112" i="9" s="1"/>
  <c r="X112" i="9"/>
  <c r="W113" i="9"/>
  <c r="X113" i="9"/>
  <c r="Y113" i="9"/>
  <c r="W114" i="9"/>
  <c r="X114" i="9"/>
  <c r="W115" i="9"/>
  <c r="Y115" i="9" s="1"/>
  <c r="X115" i="9"/>
  <c r="W116" i="9"/>
  <c r="Y116" i="9" s="1"/>
  <c r="X116" i="9"/>
  <c r="W117" i="9"/>
  <c r="X117" i="9"/>
  <c r="Y117" i="9"/>
  <c r="W118" i="9"/>
  <c r="X118" i="9"/>
  <c r="W119" i="9"/>
  <c r="Y119" i="9" s="1"/>
  <c r="X119" i="9"/>
  <c r="W120" i="9"/>
  <c r="Y120" i="9" s="1"/>
  <c r="X120" i="9"/>
  <c r="W121" i="9"/>
  <c r="Y121" i="9" s="1"/>
  <c r="X121" i="9"/>
  <c r="W122" i="9"/>
  <c r="X122" i="9"/>
  <c r="W123" i="9"/>
  <c r="X123" i="9"/>
  <c r="W124" i="9"/>
  <c r="X124" i="9"/>
  <c r="Y124" i="9"/>
  <c r="W125" i="9"/>
  <c r="X125" i="9"/>
  <c r="Y125" i="9"/>
  <c r="W126" i="9"/>
  <c r="X126" i="9"/>
  <c r="W127" i="9"/>
  <c r="X127" i="9"/>
  <c r="W128" i="9"/>
  <c r="X128" i="9"/>
  <c r="Y128" i="9"/>
  <c r="W129" i="9"/>
  <c r="Y129" i="9" s="1"/>
  <c r="X129" i="9"/>
  <c r="W130" i="9"/>
  <c r="X130" i="9"/>
  <c r="W131" i="9"/>
  <c r="X131" i="9"/>
  <c r="W132" i="9"/>
  <c r="X132" i="9"/>
  <c r="Y132" i="9"/>
  <c r="W133" i="9"/>
  <c r="X133" i="9"/>
  <c r="Y133" i="9"/>
  <c r="W134" i="9"/>
  <c r="Y134" i="9" s="1"/>
  <c r="X134" i="9"/>
  <c r="W135" i="9"/>
  <c r="X135" i="9"/>
  <c r="W136" i="9"/>
  <c r="Y136" i="9" s="1"/>
  <c r="X136" i="9"/>
  <c r="W137" i="9"/>
  <c r="X137" i="9"/>
  <c r="Y137" i="9"/>
  <c r="W138" i="9"/>
  <c r="X138" i="9"/>
  <c r="W139" i="9"/>
  <c r="Y139" i="9" s="1"/>
  <c r="X139" i="9"/>
  <c r="W140" i="9"/>
  <c r="Y140" i="9" s="1"/>
  <c r="X140" i="9"/>
  <c r="W141" i="9"/>
  <c r="X141" i="9"/>
  <c r="Y141" i="9"/>
  <c r="W142" i="9"/>
  <c r="X142" i="9"/>
  <c r="W143" i="9"/>
  <c r="X143" i="9"/>
  <c r="W144" i="9"/>
  <c r="Y144" i="9" s="1"/>
  <c r="X144" i="9"/>
  <c r="W145" i="9"/>
  <c r="Y145" i="9" s="1"/>
  <c r="X145" i="9"/>
  <c r="W146" i="9"/>
  <c r="X146" i="9"/>
  <c r="W147" i="9"/>
  <c r="X147" i="9"/>
  <c r="W148" i="9"/>
  <c r="X148" i="9"/>
  <c r="Y148" i="9"/>
  <c r="W149" i="9"/>
  <c r="X149" i="9"/>
  <c r="Y149" i="9"/>
  <c r="W150" i="9"/>
  <c r="X150" i="9"/>
  <c r="W151" i="9"/>
  <c r="X151" i="9"/>
  <c r="W152" i="9"/>
  <c r="X152" i="9"/>
  <c r="Y152" i="9"/>
  <c r="W153" i="9"/>
  <c r="Y153" i="9" s="1"/>
  <c r="X153" i="9"/>
  <c r="W154" i="9"/>
  <c r="X154" i="9"/>
  <c r="W155" i="9"/>
  <c r="Y155" i="9" s="1"/>
  <c r="X155" i="9"/>
  <c r="W156" i="9"/>
  <c r="X156" i="9"/>
  <c r="Y156" i="9"/>
  <c r="W157" i="9"/>
  <c r="X157" i="9"/>
  <c r="Y157" i="9"/>
  <c r="W158" i="9"/>
  <c r="Y158" i="9" s="1"/>
  <c r="X158" i="9"/>
  <c r="W159" i="9"/>
  <c r="X159" i="9"/>
  <c r="W160" i="9"/>
  <c r="Y160" i="9" s="1"/>
  <c r="X160" i="9"/>
  <c r="W161" i="9"/>
  <c r="X161" i="9"/>
  <c r="Y161" i="9"/>
  <c r="W162" i="9"/>
  <c r="X162" i="9"/>
  <c r="W163" i="9"/>
  <c r="Y163" i="9" s="1"/>
  <c r="X163" i="9"/>
  <c r="W164" i="9"/>
  <c r="X164" i="9"/>
  <c r="Y164" i="9"/>
  <c r="W165" i="9"/>
  <c r="X165" i="9"/>
  <c r="Y165" i="9" s="1"/>
  <c r="W166" i="9"/>
  <c r="X166" i="9"/>
  <c r="W167" i="9"/>
  <c r="X167" i="9"/>
  <c r="W168" i="9"/>
  <c r="Y168" i="9" s="1"/>
  <c r="X168" i="9"/>
  <c r="W169" i="9"/>
  <c r="Y169" i="9" s="1"/>
  <c r="X169" i="9"/>
  <c r="W170" i="9"/>
  <c r="Y170" i="9" s="1"/>
  <c r="X170" i="9"/>
  <c r="W171" i="9"/>
  <c r="X171" i="9"/>
  <c r="W172" i="9"/>
  <c r="X172" i="9"/>
  <c r="Y172" i="9"/>
  <c r="W173" i="9"/>
  <c r="X173" i="9"/>
  <c r="Y173" i="9"/>
  <c r="W174" i="9"/>
  <c r="Y174" i="9" s="1"/>
  <c r="X174" i="9"/>
  <c r="W175" i="9"/>
  <c r="Y175" i="9" s="1"/>
  <c r="X175" i="9"/>
  <c r="W176" i="9"/>
  <c r="X176" i="9"/>
  <c r="Y176" i="9"/>
  <c r="W177" i="9"/>
  <c r="Y177" i="9" s="1"/>
  <c r="X177" i="9"/>
  <c r="W178" i="9"/>
  <c r="X178" i="9"/>
  <c r="W179" i="9"/>
  <c r="Y179" i="9" s="1"/>
  <c r="X179" i="9"/>
  <c r="W180" i="9"/>
  <c r="X180" i="9"/>
  <c r="Y180" i="9"/>
  <c r="W181" i="9"/>
  <c r="X181" i="9"/>
  <c r="Y181" i="9"/>
  <c r="W182" i="9"/>
  <c r="Y182" i="9" s="1"/>
  <c r="X182" i="9"/>
  <c r="W183" i="9"/>
  <c r="Y183" i="9" s="1"/>
  <c r="X183" i="9"/>
  <c r="W184" i="9"/>
  <c r="X184" i="9"/>
  <c r="Y184" i="9"/>
  <c r="W185" i="9"/>
  <c r="X185" i="9"/>
  <c r="Y185" i="9"/>
  <c r="W186" i="9"/>
  <c r="Y186" i="9" s="1"/>
  <c r="X186" i="9"/>
  <c r="W187" i="9"/>
  <c r="X187" i="9"/>
  <c r="Y187" i="9"/>
  <c r="W188" i="9"/>
  <c r="X188" i="9"/>
  <c r="Y188" i="9" s="1"/>
  <c r="W189" i="9"/>
  <c r="X189" i="9"/>
  <c r="Y189" i="9"/>
  <c r="W190" i="9"/>
  <c r="X190" i="9"/>
  <c r="W191" i="9"/>
  <c r="Y191" i="9" s="1"/>
  <c r="X191" i="9"/>
  <c r="W192" i="9"/>
  <c r="Y192" i="9" s="1"/>
  <c r="X192" i="9"/>
  <c r="W193" i="9"/>
  <c r="X193" i="9"/>
  <c r="Y193" i="9"/>
  <c r="W194" i="9"/>
  <c r="X194" i="9"/>
  <c r="W195" i="9"/>
  <c r="Y195" i="9" s="1"/>
  <c r="X195" i="9"/>
  <c r="W196" i="9"/>
  <c r="Y196" i="9" s="1"/>
  <c r="X196" i="9"/>
  <c r="Y28" i="9" l="1"/>
  <c r="Y20" i="9"/>
  <c r="Y24" i="9"/>
  <c r="Y114" i="9"/>
  <c r="Y95" i="9"/>
  <c r="Y90" i="9"/>
  <c r="Y71" i="9"/>
  <c r="Y162" i="9"/>
  <c r="Y143" i="9"/>
  <c r="Y171" i="9"/>
  <c r="Y147" i="9"/>
  <c r="Y118" i="9"/>
  <c r="Y99" i="9"/>
  <c r="Y94" i="9"/>
  <c r="Y75" i="9"/>
  <c r="Y70" i="9"/>
  <c r="Y43" i="9"/>
  <c r="Y27" i="9"/>
  <c r="Y15" i="9"/>
  <c r="Y190" i="9"/>
  <c r="Y11" i="9"/>
  <c r="Y142" i="9"/>
  <c r="Y123" i="9"/>
  <c r="Y167" i="9"/>
  <c r="Y151" i="9"/>
  <c r="Y146" i="9"/>
  <c r="Y127" i="9"/>
  <c r="Y122" i="9"/>
  <c r="Y103" i="9"/>
  <c r="Y98" i="9"/>
  <c r="Y79" i="9"/>
  <c r="Y74" i="9"/>
  <c r="Y31" i="9"/>
  <c r="Y166" i="9"/>
  <c r="Y13" i="9"/>
  <c r="Y150" i="9"/>
  <c r="Y131" i="9"/>
  <c r="Y126" i="9"/>
  <c r="Y107" i="9"/>
  <c r="Y102" i="9"/>
  <c r="Y83" i="9"/>
  <c r="Y78" i="9"/>
  <c r="Y194" i="9"/>
  <c r="Y178" i="9"/>
  <c r="Y159" i="9"/>
  <c r="Y154" i="9"/>
  <c r="Y135" i="9"/>
  <c r="Y130" i="9"/>
  <c r="Y111" i="9"/>
  <c r="Y106" i="9"/>
  <c r="Y87" i="9"/>
  <c r="Y82" i="9"/>
  <c r="Y67" i="9"/>
  <c r="Y51" i="9"/>
  <c r="Y46" i="9"/>
  <c r="Y18" i="9"/>
  <c r="Y138" i="9"/>
  <c r="Y45" i="9"/>
  <c r="Y17" i="9"/>
  <c r="Y59" i="9"/>
  <c r="Y54" i="9"/>
  <c r="Y35" i="9"/>
  <c r="Y30" i="9"/>
  <c r="Y19" i="9"/>
  <c r="Y14" i="9"/>
  <c r="Y63" i="9"/>
  <c r="Y58" i="9"/>
  <c r="Y39" i="9"/>
  <c r="Y34" i="9"/>
  <c r="Y8" i="9"/>
  <c r="Y7" i="9"/>
  <c r="Y66" i="9"/>
  <c r="Y47" i="9"/>
  <c r="Y42" i="9"/>
  <c r="Y6" i="9"/>
  <c r="Y21" i="9"/>
  <c r="Y25" i="9"/>
  <c r="Y23" i="9"/>
  <c r="Y22" i="9"/>
  <c r="Y26" i="9"/>
  <c r="B6" i="3"/>
  <c r="O2" i="9"/>
  <c r="X5" i="9"/>
  <c r="W5" i="9"/>
  <c r="Y5" i="9" l="1"/>
  <c r="F1" i="9"/>
  <c r="L3" i="9" a="1"/>
  <c r="L3" i="9" s="1"/>
  <c r="M3" i="9" a="1"/>
  <c r="M3" i="9" s="1"/>
  <c r="N3" i="9" a="1"/>
  <c r="N3" i="9" s="1"/>
  <c r="B3" i="9" a="1"/>
  <c r="B3" i="9" s="1"/>
  <c r="F2" i="9" a="1"/>
  <c r="F2" i="9" s="1"/>
  <c r="A3" i="9" a="1"/>
  <c r="A3" i="9" s="1"/>
  <c r="C3" i="9" a="1"/>
  <c r="C3" i="9" s="1"/>
  <c r="O3" i="9" a="1"/>
  <c r="O3" i="9" s="1"/>
  <c r="P3" i="9" a="1"/>
  <c r="P3" i="9" s="1"/>
  <c r="Q3" i="9" a="1"/>
  <c r="Q3" i="9" s="1"/>
  <c r="R3" i="9" a="1"/>
  <c r="R3" i="9" s="1"/>
  <c r="S3" i="9" a="1"/>
  <c r="S3" i="9" s="1"/>
  <c r="T3" i="9" a="1"/>
  <c r="T3" i="9" s="1"/>
  <c r="U3" i="9" a="1"/>
  <c r="U3" i="9" s="1"/>
  <c r="V3" i="9" a="1"/>
  <c r="V3" i="9" s="1"/>
  <c r="W3" i="9" a="1"/>
  <c r="W3" i="9" s="1"/>
  <c r="X3" i="9" a="1"/>
  <c r="X3" i="9" s="1"/>
  <c r="Y3" i="9" a="1"/>
  <c r="Y3" i="9" s="1"/>
  <c r="K3" i="9" l="1" a="1"/>
  <c r="K3" i="9" s="1"/>
  <c r="J3" i="9" a="1"/>
  <c r="J3" i="9" s="1"/>
  <c r="I3" i="9" l="1" a="1"/>
  <c r="I3" i="9" s="1"/>
  <c r="H3" i="9" a="1"/>
  <c r="H3" i="9" s="1"/>
  <c r="G3" i="9" a="1"/>
  <c r="G3" i="9" s="1"/>
  <c r="F3" i="9" a="1"/>
  <c r="F3" i="9" s="1"/>
  <c r="E3" i="9" a="1"/>
  <c r="E3" i="9" s="1"/>
  <c r="D3" i="9" a="1"/>
  <c r="D3" i="9" s="1"/>
  <c r="X2" i="9" l="1"/>
  <c r="Y2" i="9" l="1"/>
  <c r="B3" i="3" s="1"/>
  <c r="B5" i="3" l="1"/>
  <c r="B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<sst xmlns="http://schemas.openxmlformats.org/spreadsheetml/2006/main" count="387" uniqueCount="305">
  <si>
    <t>English</t>
  </si>
  <si>
    <t>Laminate</t>
  </si>
  <si>
    <t>2 m</t>
  </si>
  <si>
    <t>Date</t>
  </si>
  <si>
    <t>Blade 
Serial #</t>
  </si>
  <si>
    <t>Team Supervisor
(if applicable)</t>
  </si>
  <si>
    <t>Technician 
1</t>
  </si>
  <si>
    <t>Technician 
2</t>
  </si>
  <si>
    <t>Technician 
3</t>
  </si>
  <si>
    <t>Technician 
4</t>
  </si>
  <si>
    <t>Technician 
5</t>
  </si>
  <si>
    <t>Activity</t>
  </si>
  <si>
    <t>Details 
of 
Activity</t>
  </si>
  <si>
    <t>Over 
Time
[h]</t>
  </si>
  <si>
    <t>Blade 
Position 
(Pitch #)</t>
  </si>
  <si>
    <t>Comments</t>
  </si>
  <si>
    <t># 
of 
Techs</t>
  </si>
  <si>
    <t>Total 
hours</t>
  </si>
  <si>
    <t xml:space="preserve">Total Work Hours : </t>
  </si>
  <si>
    <t xml:space="preserve">Estimated Time Remaining : </t>
  </si>
  <si>
    <t>Report is not completed! Fill areas in Days Overview Sheet</t>
  </si>
  <si>
    <t>Language :</t>
  </si>
  <si>
    <t>Temperature  Min
(°C)</t>
  </si>
  <si>
    <t>Temperature Max
(°C)</t>
  </si>
  <si>
    <t>WTG stop Overnight
(Yes/No)</t>
  </si>
  <si>
    <t xml:space="preserve">Start Date : </t>
  </si>
  <si>
    <t>Türkçe</t>
  </si>
  <si>
    <t>Tarih</t>
  </si>
  <si>
    <t>Kanat 
No #</t>
  </si>
  <si>
    <t>Takım Lideri 
(Varsa)</t>
  </si>
  <si>
    <t>Teknisyen 
1</t>
  </si>
  <si>
    <t>Teknisyen 
2</t>
  </si>
  <si>
    <t>Teknisyen 
3</t>
  </si>
  <si>
    <t>Teknisyen 
4</t>
  </si>
  <si>
    <t>Teknisyen 
5</t>
  </si>
  <si>
    <t>Yapılan 
İş</t>
  </si>
  <si>
    <t>İşin 
Detayı</t>
  </si>
  <si>
    <t>Saat 
[s]</t>
  </si>
  <si>
    <t>Ek Mesai
[s]</t>
  </si>
  <si>
    <t>Ek
Açıklama</t>
  </si>
  <si>
    <t>Teknisyen
Sayısı</t>
  </si>
  <si>
    <t>Toplam
Saat</t>
  </si>
  <si>
    <t>Adam 
x 
Saat</t>
  </si>
  <si>
    <t xml:space="preserve">Toplam Çalışılan Saat : </t>
  </si>
  <si>
    <t xml:space="preserve">Tahmini Kalan Saat : </t>
  </si>
  <si>
    <t>Rapor Eksik! Days Overview sayfasındaki eksikleri doldurun!</t>
  </si>
  <si>
    <t>Dil :</t>
  </si>
  <si>
    <t>Sıcaklık Min
(°C)</t>
  </si>
  <si>
    <t>Sıcaklık Max
(°C)</t>
  </si>
  <si>
    <t>Türbin gece durdu mu? (Evet/Hayır)</t>
  </si>
  <si>
    <t>Başlangıç Tarihi :</t>
  </si>
  <si>
    <t>In Progress</t>
  </si>
  <si>
    <t>Start Date</t>
  </si>
  <si>
    <t>TYPE of work</t>
  </si>
  <si>
    <t>SUBTYPE</t>
  </si>
  <si>
    <t>Preparation</t>
  </si>
  <si>
    <t>PREPARATION</t>
  </si>
  <si>
    <t>Postcure</t>
  </si>
  <si>
    <t>STANDBY</t>
  </si>
  <si>
    <t>Grind</t>
  </si>
  <si>
    <t>External Inspection</t>
  </si>
  <si>
    <t>Coating</t>
  </si>
  <si>
    <t>Yes</t>
  </si>
  <si>
    <t>Hoist Materials/Tools</t>
  </si>
  <si>
    <t>0.5 m</t>
  </si>
  <si>
    <t>Poor Lamination</t>
  </si>
  <si>
    <t>ISP Related - Stand By Time</t>
  </si>
  <si>
    <t>Blade 1 Completed</t>
  </si>
  <si>
    <t>No</t>
  </si>
  <si>
    <t>HSE Meeting And Paperwork</t>
  </si>
  <si>
    <t>1 m</t>
  </si>
  <si>
    <t>Damaged Shell</t>
  </si>
  <si>
    <t>NX Related - Customer/Owner Issues</t>
  </si>
  <si>
    <t>Blade 2 Completed</t>
  </si>
  <si>
    <t>Damage Identification</t>
  </si>
  <si>
    <t>Damaged Shear Web</t>
  </si>
  <si>
    <t>NX Related - Lift Issues</t>
  </si>
  <si>
    <t>Blade 3 Completed</t>
  </si>
  <si>
    <t>Rework</t>
  </si>
  <si>
    <t>Chemicals Preparation &amp; Materials</t>
  </si>
  <si>
    <t>3 m</t>
  </si>
  <si>
    <t>Bubbles</t>
  </si>
  <si>
    <t>NX Related - Power Issues</t>
  </si>
  <si>
    <t>Tower Completed</t>
  </si>
  <si>
    <t>Standby</t>
  </si>
  <si>
    <t>Setup Ac System</t>
  </si>
  <si>
    <t>4 m</t>
  </si>
  <si>
    <t>Burning Repairs</t>
  </si>
  <si>
    <t>NX Related - PPE/Tooling Inspections</t>
  </si>
  <si>
    <t>Safety Equipment</t>
  </si>
  <si>
    <t>5 m</t>
  </si>
  <si>
    <t>Poor Impregnation</t>
  </si>
  <si>
    <t>NX Related - Safety Inspections</t>
  </si>
  <si>
    <t>Post Cure</t>
  </si>
  <si>
    <t>6 m</t>
  </si>
  <si>
    <t>White Lamination</t>
  </si>
  <si>
    <t>NX Related - QC Inspections</t>
  </si>
  <si>
    <t>Power</t>
  </si>
  <si>
    <t>7 m</t>
  </si>
  <si>
    <t>NX Related - Tech Support</t>
  </si>
  <si>
    <t>Unbalance</t>
  </si>
  <si>
    <t>Keep Temp &amp; Humidity Conditions</t>
  </si>
  <si>
    <t>8 m</t>
  </si>
  <si>
    <t>Weather - High Humidity</t>
  </si>
  <si>
    <t>Assembly Suspended Platform</t>
  </si>
  <si>
    <t>9 m</t>
  </si>
  <si>
    <t>Weather - High Temperature</t>
  </si>
  <si>
    <t>WF Internal Mobilization</t>
  </si>
  <si>
    <t>Disassembly Suspended Platform</t>
  </si>
  <si>
    <t>10 m</t>
  </si>
  <si>
    <t>Weather - High Winds</t>
  </si>
  <si>
    <t>11 m</t>
  </si>
  <si>
    <t>Weather - Lightning</t>
  </si>
  <si>
    <t>Turbine Stopped</t>
  </si>
  <si>
    <t>12 m</t>
  </si>
  <si>
    <t>Weather - Other</t>
  </si>
  <si>
    <t>Turbine Restarted</t>
  </si>
  <si>
    <t>13 m</t>
  </si>
  <si>
    <t>14 m</t>
  </si>
  <si>
    <t>15 m</t>
  </si>
  <si>
    <t>16 m</t>
  </si>
  <si>
    <t>Data</t>
  </si>
  <si>
    <t>Atividade</t>
  </si>
  <si>
    <t>Comentários</t>
  </si>
  <si>
    <t>Relatório incompleto! Preencher os campos na Folha de Resumo de Dias</t>
  </si>
  <si>
    <t>Idioma</t>
  </si>
  <si>
    <t>Datos</t>
  </si>
  <si>
    <t>Actividad</t>
  </si>
  <si>
    <t>Comentarios</t>
  </si>
  <si>
    <t>Informe incompleto! rellenar las areas en la hoja de resumen de dias</t>
  </si>
  <si>
    <t>idioma</t>
  </si>
  <si>
    <t>Número de 
serie da pá</t>
  </si>
  <si>
    <t>Número de 
serie de pala</t>
  </si>
  <si>
    <t>Técnico 
1</t>
  </si>
  <si>
    <t>Técnico 
2</t>
  </si>
  <si>
    <t>Técnico 
3</t>
  </si>
  <si>
    <t>Técnico 
4</t>
  </si>
  <si>
    <t>Técnico 
5</t>
  </si>
  <si>
    <t>Detalhes 
da 
atividade</t>
  </si>
  <si>
    <t>Detalles 
de la 
actividad</t>
  </si>
  <si>
    <t>Tempo 
(h)</t>
  </si>
  <si>
    <t>Tiempo 
(h)</t>
  </si>
  <si>
    <t>Tempo extra 
(h)</t>
  </si>
  <si>
    <t>Tiempo extra 
(h)</t>
  </si>
  <si>
    <t>Nr. De 
Técnicos</t>
  </si>
  <si>
    <t>Número de 
técnicos</t>
  </si>
  <si>
    <t>Total 
de 
horas</t>
  </si>
  <si>
    <t>Total 
horas</t>
  </si>
  <si>
    <t>Total 
horas 
trabalhadas :</t>
  </si>
  <si>
    <t>Total 
de horas 
trabajadas</t>
  </si>
  <si>
    <t>Tempo 
restante 
estimado :</t>
  </si>
  <si>
    <t>Tiempo 
restante 
estimado</t>
  </si>
  <si>
    <t>Humidade min. 
(%)</t>
  </si>
  <si>
    <t>Humedad Min. 
(%)</t>
  </si>
  <si>
    <t>Humidade max. 
(%)</t>
  </si>
  <si>
    <t>Humedad Máx. 
(%)</t>
  </si>
  <si>
    <t>Temperatura Min. 
(ºC)</t>
  </si>
  <si>
    <t>Temperatura Máx. 
(ºC)</t>
  </si>
  <si>
    <t>Aerogerador parado durante a noite? 
(Sim/Não)</t>
  </si>
  <si>
    <t>Turbina parada durante la noche 
(SI/NO)</t>
  </si>
  <si>
    <t>Supervisor 
da equipa 
(se aplicável)</t>
  </si>
  <si>
    <t>Supervisor 
de equipo 
(si aplica)</t>
  </si>
  <si>
    <t>Español</t>
  </si>
  <si>
    <t>Português</t>
  </si>
  <si>
    <t>Relatório da Atividade Diária</t>
  </si>
  <si>
    <t>Informe de Actividad Diaria</t>
  </si>
  <si>
    <t>Datum</t>
  </si>
  <si>
    <t>Tätigkeit</t>
  </si>
  <si>
    <t>Kommentare</t>
  </si>
  <si>
    <t>Gesamtzeit</t>
  </si>
  <si>
    <t>Bericht in nicht vollständig! Felder in der Tagesübersicht müssen ausgefüllt sein</t>
  </si>
  <si>
    <t>Sprache</t>
  </si>
  <si>
    <t>Techniker 
1</t>
  </si>
  <si>
    <t>Techniker 
2</t>
  </si>
  <si>
    <t>Techniker 
3</t>
  </si>
  <si>
    <t>Techniker 
4</t>
  </si>
  <si>
    <t>Techniker 
5</t>
  </si>
  <si>
    <t>Tätigkeits
beschreibung</t>
  </si>
  <si>
    <t>Zeit 
[h]</t>
  </si>
  <si>
    <t>Anzahl 
der 
Techniker</t>
  </si>
  <si>
    <t>Gesamt
arbeitszeit</t>
  </si>
  <si>
    <t>Schätzte 
verbleibende 
Zeit</t>
  </si>
  <si>
    <t>Luftfeuchtigkeit 
min. (%)</t>
  </si>
  <si>
    <t>Luftfeuchtigkeit 
max. (%)</t>
  </si>
  <si>
    <t>Temperatur 
min. (°C)</t>
  </si>
  <si>
    <t>Temperatur 
max. (°C)</t>
  </si>
  <si>
    <t>WTG 
Nummer</t>
  </si>
  <si>
    <t>Täglicher Tätigkeitsbericht</t>
  </si>
  <si>
    <t>Deutsch</t>
  </si>
  <si>
    <t>Teamleiter 
(wenn 
vorhanden)</t>
  </si>
  <si>
    <t>Blattnummer 
#</t>
  </si>
  <si>
    <t>Rework of Repairs</t>
  </si>
  <si>
    <t>Summary text</t>
  </si>
  <si>
    <t>Activité</t>
  </si>
  <si>
    <t>Commentaites</t>
  </si>
  <si>
    <t>Rapport non complété! Remplir les champs dans le rapport journalier</t>
  </si>
  <si>
    <t>Langage:</t>
  </si>
  <si>
    <t>Rapport d'activité journalier</t>
  </si>
  <si>
    <t>Français</t>
  </si>
  <si>
    <t>Superviseur 
d'équipe 
(si applicable)</t>
  </si>
  <si>
    <t>Numéro de 
série de pale</t>
  </si>
  <si>
    <t>Technicien 
1</t>
  </si>
  <si>
    <t>Technicien 
2</t>
  </si>
  <si>
    <t>Technicien 
3</t>
  </si>
  <si>
    <t>Technicien 
4</t>
  </si>
  <si>
    <t>Technicien 
5</t>
  </si>
  <si>
    <t>Détail 
d'activité</t>
  </si>
  <si>
    <t>Temps 
(h)</t>
  </si>
  <si>
    <t>Nombre 
de 
technicien</t>
  </si>
  <si>
    <t>Heure 
totale</t>
  </si>
  <si>
    <t>Quantité 
d'heure 
travaillée</t>
  </si>
  <si>
    <t>Temps 
restant 
estimé</t>
  </si>
  <si>
    <t>Humidité 
Min 
(%)</t>
  </si>
  <si>
    <t>Humidité 
Max 
(%)</t>
  </si>
  <si>
    <t>Température 
Min
(°C)</t>
  </si>
  <si>
    <t>Température 
Max
(°C)</t>
  </si>
  <si>
    <t>Arrêt éolienne 
jusqu'au 
lendemain
(Oui/Non)</t>
  </si>
  <si>
    <t>Data de 
início :</t>
  </si>
  <si>
    <t>Fecha de 
inicio :</t>
  </si>
  <si>
    <t>Beginndatum :</t>
  </si>
  <si>
    <t>Date de 
début :</t>
  </si>
  <si>
    <t>Summary text2</t>
  </si>
  <si>
    <t>Summary text3</t>
  </si>
  <si>
    <t>Extra Zeit 
[h]</t>
  </si>
  <si>
    <t>Position 
de la pale 
(Pitch #)</t>
  </si>
  <si>
    <t>Posición 
de la pala
(Pitch #)</t>
  </si>
  <si>
    <t>Posição 
da pá
(Pitch #)</t>
  </si>
  <si>
    <t>Kanat 
(Pitch #)</t>
  </si>
  <si>
    <t>Blatt
position
(Pitch #)</t>
  </si>
  <si>
    <t>Heures
supplém
entaires</t>
  </si>
  <si>
    <t>Kalan 
Gün</t>
  </si>
  <si>
    <t>Tempo 
restante 
(d)</t>
  </si>
  <si>
    <t>Tiempo 
restante 
(d)</t>
  </si>
  <si>
    <t>Verbleibende 
Zeit 
[d]</t>
  </si>
  <si>
    <t>Temps 
restant 
(d)</t>
  </si>
  <si>
    <t>Total KM's travelled on this day
(Kilometers)</t>
  </si>
  <si>
    <t>Toplam Seyahat Mesafesi
(Kilometre)</t>
  </si>
  <si>
    <t xml:space="preserve">Gefahrene Kilometer 
zum und vom Windpark </t>
  </si>
  <si>
    <t>Overnight Stay?
(Yes/No)</t>
  </si>
  <si>
    <t>Pernoita? 
(Sim/Não)</t>
  </si>
  <si>
    <t>¿ pernoctar? 
(SI/NO)</t>
  </si>
  <si>
    <t>Übernachtung? 
(Ja/Nein)</t>
  </si>
  <si>
    <t>Techs 
x 
Hour</t>
  </si>
  <si>
    <t>Pitch 2</t>
  </si>
  <si>
    <t>Humidity Max
(%)</t>
  </si>
  <si>
    <t>Humidity 
Min
(%)</t>
  </si>
  <si>
    <t>Nem 
Min
(%)</t>
  </si>
  <si>
    <t>Nem 
Max
(%)</t>
  </si>
  <si>
    <t>Passer la nuit? 
(Oui/Non)</t>
  </si>
  <si>
    <t>Daily Activity Report - Blade Works</t>
  </si>
  <si>
    <t>Günlük Aktivite Raporu - Kanat İşleri</t>
  </si>
  <si>
    <t>WorkingTime 
[h]</t>
  </si>
  <si>
    <t>Remaining  Days</t>
  </si>
  <si>
    <t>Fill only for repairs</t>
  </si>
  <si>
    <t>N10799999</t>
  </si>
  <si>
    <t>Sarper Tek</t>
  </si>
  <si>
    <t>Sreevisakh Rajasekharan</t>
  </si>
  <si>
    <t>Gece konaklama
(Evet/Hayır)</t>
  </si>
  <si>
    <t xml:space="preserve">Kms percorridos de e para o local </t>
  </si>
  <si>
    <t xml:space="preserve">Kms recorridos hacia y desde el sitio </t>
  </si>
  <si>
    <t>Kms parcouru 
aller/retour du site</t>
  </si>
  <si>
    <t>Técnicos x 
Hora</t>
  </si>
  <si>
    <t>Técnicos x
Hora</t>
  </si>
  <si>
    <t>Zeit pro 
Techniker</t>
  </si>
  <si>
    <t>Technicien x 
Heure</t>
  </si>
  <si>
    <t/>
  </si>
  <si>
    <r>
      <t xml:space="preserve">Make sure to upload this file with activites for at least one day as an attachment in the External Portal.
You have to </t>
    </r>
    <r>
      <rPr>
        <sz val="16"/>
        <color rgb="FFFF0000"/>
        <rFont val="Calibri"/>
        <family val="2"/>
        <scheme val="minor"/>
      </rPr>
      <t>document all the activities</t>
    </r>
    <r>
      <rPr>
        <sz val="16"/>
        <color theme="1"/>
        <rFont val="Calibri"/>
        <family val="2"/>
        <scheme val="minor"/>
      </rPr>
      <t xml:space="preserve"> that have been performed during the blade works for each Purchase Orders.
The </t>
    </r>
    <r>
      <rPr>
        <sz val="16"/>
        <color rgb="FFFF0000"/>
        <rFont val="Calibri"/>
        <family val="2"/>
        <scheme val="minor"/>
      </rPr>
      <t>file name should consist inspection or repair report number</t>
    </r>
    <r>
      <rPr>
        <sz val="16"/>
        <rFont val="Calibri"/>
        <family val="2"/>
        <scheme val="minor"/>
      </rPr>
      <t xml:space="preserve"> in any place of file name </t>
    </r>
    <r>
      <rPr>
        <sz val="16"/>
        <color theme="1"/>
        <rFont val="Calibri"/>
        <family val="2"/>
        <scheme val="minor"/>
      </rPr>
      <t xml:space="preserve">otherwise it will not uploaded. </t>
    </r>
    <r>
      <rPr>
        <i/>
        <sz val="16"/>
        <color theme="1"/>
        <rFont val="Calibri"/>
        <family val="2"/>
        <scheme val="minor"/>
      </rPr>
      <t>(For ex: "</t>
    </r>
    <r>
      <rPr>
        <i/>
        <sz val="16"/>
        <color rgb="FF00B050"/>
        <rFont val="Calibri"/>
        <family val="2"/>
        <scheme val="minor"/>
      </rPr>
      <t>Daily Activity Report - IR00200081</t>
    </r>
    <r>
      <rPr>
        <i/>
        <sz val="16"/>
        <color theme="1"/>
        <rFont val="Calibri"/>
        <family val="2"/>
        <scheme val="minor"/>
      </rPr>
      <t>" or "</t>
    </r>
    <r>
      <rPr>
        <i/>
        <sz val="16"/>
        <color rgb="FF00B050"/>
        <rFont val="Calibri"/>
        <family val="2"/>
        <scheme val="minor"/>
      </rPr>
      <t>RR00200081 Daily Activity Report</t>
    </r>
    <r>
      <rPr>
        <i/>
        <sz val="16"/>
        <color theme="1"/>
        <rFont val="Calibri"/>
        <family val="2"/>
        <scheme val="minor"/>
      </rPr>
      <t>")</t>
    </r>
  </si>
  <si>
    <t>Standby hours</t>
  </si>
  <si>
    <t>Working
Time 
[h]</t>
  </si>
  <si>
    <t>Repair IDD</t>
  </si>
  <si>
    <t>Repair IPC</t>
  </si>
  <si>
    <t>Curing</t>
  </si>
  <si>
    <t>Cleaning</t>
  </si>
  <si>
    <t>Repair Coating</t>
  </si>
  <si>
    <t>Repair LEP</t>
  </si>
  <si>
    <t>Repair Corematerial</t>
  </si>
  <si>
    <t>Repair Serration</t>
  </si>
  <si>
    <t>Repair Bulkhead</t>
  </si>
  <si>
    <t>Repair Serration Sealing</t>
  </si>
  <si>
    <t>Repair Gurny Flap</t>
  </si>
  <si>
    <t>Repair Putty Application</t>
  </si>
  <si>
    <t>Repair Manhole Cover</t>
  </si>
  <si>
    <t>Infusion Preperation</t>
  </si>
  <si>
    <t>Repair Vortex Generator</t>
  </si>
  <si>
    <t>Repair Zig Zag Tape</t>
  </si>
  <si>
    <t>Other</t>
  </si>
  <si>
    <t>NX Related - Rotorlock</t>
  </si>
  <si>
    <t>NX Related - NC2 control</t>
  </si>
  <si>
    <t>Opening Drain Hole</t>
  </si>
  <si>
    <t>Mobilization WF Internal</t>
  </si>
  <si>
    <t>Mobilization External</t>
  </si>
  <si>
    <t>Mobilization Blade Change</t>
  </si>
  <si>
    <t>ABM</t>
  </si>
  <si>
    <t>Inspection Internal</t>
  </si>
  <si>
    <t>Inspection External</t>
  </si>
  <si>
    <t>Inspection LPS</t>
  </si>
  <si>
    <t>Repair Nacelle</t>
  </si>
  <si>
    <t>Inspection EOW</t>
  </si>
  <si>
    <t>Meters</t>
  </si>
  <si>
    <t>NX Related - Meeting</t>
  </si>
  <si>
    <t>ISP Related - Meeting</t>
  </si>
  <si>
    <t>Rebalance</t>
  </si>
  <si>
    <t>Temperatura max.
(°C)</t>
  </si>
  <si>
    <t>Temperatura min.
(°C)</t>
  </si>
  <si>
    <t>Rev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</si>
</sst>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ddd"/>
    <numFmt numFmtId="165" formatCode="0\°"/>
    <numFmt numFmtId="166" formatCode="0&quot; km&quot;"/>
  </numFmts>
  <fonts count="24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11"/>
      <color theme="1"/>
      <name val="Calibri"/>
      <family val="2"/>
      <charset val="162"/>
      <scheme val="minor"/>
    </font>
    <font>
      <b/>
      <sz val="20"/>
      <name val="Calibri"/>
      <family val="2"/>
      <charset val="16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theme="0" tint="-0.499984740745262"/>
      <name val="Calibri"/>
      <family val="2"/>
      <scheme val="minor"/>
    </font>
    <font>
      <sz val="11"/>
      <color rgb="FF000000"/>
      <name val="Calibri"/>
      <family val="2"/>
    </font>
    <font>
      <sz val="8"/>
      <color rgb="FF000000"/>
      <name val="Segoe UI"/>
      <family val="2"/>
    </font>
    <font>
      <b/>
      <sz val="11"/>
      <color theme="0"/>
      <name val="Calibri"/>
      <family val="2"/>
      <scheme val="minor"/>
    </font>
    <font>
      <b/>
      <u/>
      <sz val="11"/>
      <color rgb="FF0070C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name val="Calibri"/>
      <family val="2"/>
      <scheme val="minor"/>
    </font>
    <font>
      <i/>
      <sz val="16"/>
      <color theme="1"/>
      <name val="Calibri"/>
      <family val="2"/>
      <scheme val="minor"/>
    </font>
    <font>
      <i/>
      <sz val="16"/>
      <color rgb="FF00B050"/>
      <name val="Calibri"/>
      <family val="2"/>
      <scheme val="minor"/>
    </font>
    <font>
      <b/>
      <sz val="11"/>
      <name val="Arial"/>
      <family val="2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48">
    <xf numFmtId="0" fontId="0" fillId="0" borderId="0" xfId="0"/>
    <xf numFmtId="14" fontId="0" fillId="0" borderId="0" xfId="0" applyNumberFormat="1"/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166" fontId="0" fillId="0" borderId="1" xfId="0" applyNumberFormat="1" applyBorder="1" applyAlignment="1" applyProtection="1">
      <alignment horizontal="center" vertical="center"/>
      <protection locked="0"/>
    </xf>
    <xf numFmtId="10" fontId="0" fillId="0" borderId="1" xfId="0" applyNumberFormat="1" applyBorder="1" applyAlignment="1" applyProtection="1">
      <alignment horizontal="center"/>
      <protection locked="0"/>
    </xf>
    <xf numFmtId="165" fontId="0" fillId="0" borderId="1" xfId="0" applyNumberFormat="1" applyBorder="1" applyAlignment="1" applyProtection="1">
      <alignment horizontal="center"/>
      <protection locked="0"/>
    </xf>
    <xf numFmtId="0" fontId="8" fillId="4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vertical="center"/>
    </xf>
    <xf numFmtId="0" fontId="7" fillId="2" borderId="4" xfId="0" applyFont="1" applyFill="1" applyBorder="1" applyAlignment="1">
      <alignment vertical="center"/>
    </xf>
    <xf numFmtId="0" fontId="9" fillId="0" borderId="0" xfId="0" applyFont="1"/>
    <xf numFmtId="0" fontId="10" fillId="0" borderId="0" xfId="0" applyFont="1"/>
    <xf numFmtId="0" fontId="3" fillId="2" borderId="6" xfId="1" applyFont="1" applyFill="1" applyBorder="1" applyAlignment="1">
      <alignment vertical="center" wrapText="1"/>
    </xf>
    <xf numFmtId="0" fontId="11" fillId="0" borderId="6" xfId="1" applyFont="1" applyBorder="1" applyAlignment="1">
      <alignment vertical="center"/>
    </xf>
    <xf numFmtId="0" fontId="12" fillId="0" borderId="6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13" fillId="0" borderId="0" xfId="0" applyFont="1" applyAlignment="1">
      <alignment wrapText="1"/>
    </xf>
    <xf numFmtId="0" fontId="0" fillId="0" borderId="8" xfId="0" applyBorder="1"/>
    <xf numFmtId="0" fontId="14" fillId="0" borderId="0" xfId="0" applyFont="1"/>
    <xf numFmtId="0" fontId="15" fillId="0" borderId="6" xfId="1" applyFont="1" applyBorder="1" applyAlignment="1">
      <alignment horizontal="center" vertical="center"/>
    </xf>
    <xf numFmtId="0" fontId="0" fillId="0" borderId="0" xfId="0" applyProtection="1">
      <protection locked="0"/>
    </xf>
    <xf numFmtId="164" fontId="8" fillId="0" borderId="1" xfId="0" applyNumberFormat="1" applyFont="1" applyBorder="1" applyAlignment="1" applyProtection="1">
      <alignment horizontal="left"/>
      <protection locked="0"/>
    </xf>
    <xf numFmtId="0" fontId="16" fillId="0" borderId="6" xfId="1" applyFont="1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center" wrapText="1"/>
      <protection locked="0"/>
    </xf>
    <xf numFmtId="0" fontId="0" fillId="0" borderId="0" xfId="0" applyAlignment="1">
      <alignment horizontal="center" vertical="center" wrapText="1"/>
    </xf>
    <xf numFmtId="0" fontId="0" fillId="3" borderId="1" xfId="0" applyFill="1" applyBorder="1"/>
    <xf numFmtId="0" fontId="11" fillId="0" borderId="6" xfId="1" applyFont="1" applyBorder="1" applyAlignment="1">
      <alignment horizontal="center" vertical="center"/>
    </xf>
    <xf numFmtId="0" fontId="0" fillId="0" borderId="2" xfId="0" applyBorder="1" applyAlignment="1" applyProtection="1">
      <alignment horizontal="center" wrapText="1"/>
      <protection locked="0"/>
    </xf>
    <xf numFmtId="0" fontId="8" fillId="4" borderId="2" xfId="0" applyFont="1" applyFill="1" applyBorder="1" applyAlignment="1">
      <alignment horizontal="center"/>
    </xf>
    <xf numFmtId="2" fontId="0" fillId="0" borderId="1" xfId="0" applyNumberFormat="1" applyBorder="1" applyAlignment="1" applyProtection="1">
      <alignment horizontal="center"/>
      <protection locked="0"/>
    </xf>
    <xf numFmtId="1" fontId="0" fillId="0" borderId="1" xfId="0" applyNumberFormat="1" applyBorder="1" applyAlignment="1" applyProtection="1">
      <alignment horizontal="center"/>
      <protection locked="0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22" fillId="6" borderId="0" xfId="0" applyFont="1" applyFill="1" applyAlignment="1">
      <alignment horizontal="left" vertical="center" wrapText="1"/>
    </xf>
    <xf numFmtId="2" fontId="6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6" fillId="0" borderId="0" xfId="2" applyAlignment="1">
      <alignment horizontal="left" vertical="center"/>
    </xf>
    <xf numFmtId="0" fontId="23" fillId="6" borderId="0" xfId="0" applyFont="1" applyFill="1" applyAlignment="1">
      <alignment horizontal="left" vertical="center" wrapText="1"/>
    </xf>
    <xf numFmtId="0" fontId="6" fillId="6" borderId="0" xfId="2" applyFill="1" applyAlignment="1">
      <alignment horizontal="left" vertical="center"/>
    </xf>
    <xf numFmtId="0" fontId="11" fillId="0" borderId="6" xfId="1" applyFont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32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border outline="0">
        <right style="medium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protection locked="1" hidden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protection locked="1" hidden="0"/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protection locked="1" hidden="0"/>
    </dxf>
    <dxf>
      <border outline="0"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protection locked="1" hidden="0"/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border outline="0"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9BC2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714069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EAC816-E379-47D7-BA26-8AF72E905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0"/>
          <a:ext cx="1983509" cy="537882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0</xdr:row>
      <xdr:rowOff>0</xdr:rowOff>
    </xdr:from>
    <xdr:to>
      <xdr:col>5</xdr:col>
      <xdr:colOff>733425</xdr:colOff>
      <xdr:row>1</xdr:row>
      <xdr:rowOff>3175</xdr:rowOff>
    </xdr:to>
    <xdr:sp macro="" textlink="Variables!B3">
      <xdr:nvSpPr>
        <xdr:cNvPr id="3" name="TextBox 2">
          <a:extLst>
            <a:ext uri="{FF2B5EF4-FFF2-40B4-BE49-F238E27FC236}">
              <a16:creationId xmlns:a16="http://schemas.microsoft.com/office/drawing/2014/main" id="{202AB558-AEE3-95C0-7626-B109C23C8448}"/>
            </a:ext>
          </a:extLst>
        </xdr:cNvPr>
        <xdr:cNvSpPr txBox="1"/>
      </xdr:nvSpPr>
      <xdr:spPr>
        <a:xfrm>
          <a:off x="2066925" y="0"/>
          <a:ext cx="3762375" cy="546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l"/>
          <a:fld id="{6179AE3A-479C-47CC-A8BD-F995009E6B50}" type="TxLink">
            <a:rPr lang="en-US" sz="1000" b="0" i="1" u="none" strike="noStrike">
              <a:solidFill>
                <a:srgbClr val="000000"/>
              </a:solidFill>
              <a:latin typeface="Calibri"/>
              <a:cs typeface="Calibri"/>
            </a:rPr>
            <a:pPr algn="l"/>
            <a:t> </a:t>
          </a:fld>
          <a:endParaRPr lang="en-US" sz="900" i="1"/>
        </a:p>
      </xdr:txBody>
    </xdr:sp>
    <xdr:clientData/>
  </xdr:twoCellAnchor>
  <xdr:twoCellAnchor>
    <xdr:from>
      <xdr:col>19</xdr:col>
      <xdr:colOff>0</xdr:colOff>
      <xdr:row>0</xdr:row>
      <xdr:rowOff>0</xdr:rowOff>
    </xdr:from>
    <xdr:to>
      <xdr:col>21</xdr:col>
      <xdr:colOff>120650</xdr:colOff>
      <xdr:row>1</xdr:row>
      <xdr:rowOff>0</xdr:rowOff>
    </xdr:to>
    <xdr:sp macro="" textlink="Variables!B4">
      <xdr:nvSpPr>
        <xdr:cNvPr id="4" name="TextBox 3">
          <a:extLst>
            <a:ext uri="{FF2B5EF4-FFF2-40B4-BE49-F238E27FC236}">
              <a16:creationId xmlns:a16="http://schemas.microsoft.com/office/drawing/2014/main" id="{B0C1D2DA-EEA4-4997-A2A9-26AC7C923003}"/>
            </a:ext>
          </a:extLst>
        </xdr:cNvPr>
        <xdr:cNvSpPr txBox="1"/>
      </xdr:nvSpPr>
      <xdr:spPr>
        <a:xfrm>
          <a:off x="14992350" y="0"/>
          <a:ext cx="1606550" cy="542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fld id="{243FE199-8458-4A68-A332-A02FEB9294C9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 </a:t>
          </a:fld>
          <a:endParaRPr lang="en-US" sz="900" i="1"/>
        </a:p>
      </xdr:txBody>
    </xdr:sp>
    <xdr:clientData/>
  </xdr:twoCellAnchor>
  <xdr:twoCellAnchor>
    <xdr:from>
      <xdr:col>21</xdr:col>
      <xdr:colOff>184150</xdr:colOff>
      <xdr:row>0</xdr:row>
      <xdr:rowOff>0</xdr:rowOff>
    </xdr:from>
    <xdr:to>
      <xdr:col>25</xdr:col>
      <xdr:colOff>0</xdr:colOff>
      <xdr:row>1</xdr:row>
      <xdr:rowOff>0</xdr:rowOff>
    </xdr:to>
    <xdr:sp macro="" textlink="Variables!B5">
      <xdr:nvSpPr>
        <xdr:cNvPr id="5" name="TextBox 4">
          <a:extLst>
            <a:ext uri="{FF2B5EF4-FFF2-40B4-BE49-F238E27FC236}">
              <a16:creationId xmlns:a16="http://schemas.microsoft.com/office/drawing/2014/main" id="{5C27D82D-406C-451F-BD43-00863569C776}"/>
            </a:ext>
          </a:extLst>
        </xdr:cNvPr>
        <xdr:cNvSpPr txBox="1"/>
      </xdr:nvSpPr>
      <xdr:spPr>
        <a:xfrm>
          <a:off x="16662400" y="0"/>
          <a:ext cx="1863725" cy="542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l"/>
          <a:fld id="{B337F490-7A9A-4E60-A352-068965ED6037}" type="TxLink">
            <a:rPr lang="en-US" sz="1000" b="0" i="1" u="none" strike="noStrike">
              <a:solidFill>
                <a:srgbClr val="000000"/>
              </a:solidFill>
              <a:latin typeface="Calibri"/>
              <a:cs typeface="Calibri"/>
            </a:rPr>
            <a:pPr algn="l"/>
            <a:t> </a:t>
          </a:fld>
          <a:endParaRPr lang="en-US" sz="700" i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94757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F286B4-F700-435A-AE44-49B1B7EE2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0"/>
          <a:ext cx="1987057" cy="5461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0</xdr:row>
      <xdr:rowOff>0</xdr:rowOff>
    </xdr:from>
    <xdr:to>
      <xdr:col>5</xdr:col>
      <xdr:colOff>733425</xdr:colOff>
      <xdr:row>1</xdr:row>
      <xdr:rowOff>12700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FC04D51-6C44-4CF4-9DE4-9E3E74527B89}"/>
            </a:ext>
          </a:extLst>
        </xdr:cNvPr>
        <xdr:cNvSpPr txBox="1"/>
      </xdr:nvSpPr>
      <xdr:spPr>
        <a:xfrm>
          <a:off x="1797050" y="0"/>
          <a:ext cx="3762375" cy="558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l"/>
          <a:r>
            <a:rPr lang="en-US" sz="1000" i="1"/>
            <a:t> Remaining Days : 0 days
 Total Time Spent : 42 hours (Active:34/Standby:8)
 Teamhour Spent : 66 hours</a:t>
          </a:r>
        </a:p>
      </xdr:txBody>
    </xdr:sp>
    <xdr:clientData/>
  </xdr:twoCellAnchor>
  <xdr:twoCellAnchor>
    <xdr:from>
      <xdr:col>19</xdr:col>
      <xdr:colOff>0</xdr:colOff>
      <xdr:row>0</xdr:row>
      <xdr:rowOff>0</xdr:rowOff>
    </xdr:from>
    <xdr:to>
      <xdr:col>21</xdr:col>
      <xdr:colOff>120650</xdr:colOff>
      <xdr:row>1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235CC0E-6EBC-4674-B442-401782048B46}"/>
            </a:ext>
          </a:extLst>
        </xdr:cNvPr>
        <xdr:cNvSpPr txBox="1"/>
      </xdr:nvSpPr>
      <xdr:spPr>
        <a:xfrm>
          <a:off x="14224000" y="0"/>
          <a:ext cx="1524000" cy="546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r>
            <a:rPr lang="en-US"/>
            <a:t> Total Standby 
8 hours</a:t>
          </a:r>
        </a:p>
      </xdr:txBody>
    </xdr:sp>
    <xdr:clientData/>
  </xdr:twoCellAnchor>
  <xdr:twoCellAnchor>
    <xdr:from>
      <xdr:col>21</xdr:col>
      <xdr:colOff>184150</xdr:colOff>
      <xdr:row>0</xdr:row>
      <xdr:rowOff>0</xdr:rowOff>
    </xdr:from>
    <xdr:to>
      <xdr:col>25</xdr:col>
      <xdr:colOff>0</xdr:colOff>
      <xdr:row>0</xdr:row>
      <xdr:rowOff>539750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CD15DBD-7DC0-42AD-8F5F-3F0F9AA70342}"/>
            </a:ext>
          </a:extLst>
        </xdr:cNvPr>
        <xdr:cNvSpPr txBox="1"/>
      </xdr:nvSpPr>
      <xdr:spPr>
        <a:xfrm>
          <a:off x="15811500" y="0"/>
          <a:ext cx="1968500" cy="539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l"/>
          <a:r>
            <a:rPr lang="en-US" sz="1000" i="1"/>
            <a:t> ISP Related : 0 hours
 NX Related : 0 hours
 Weather Related : 8 hours</a:t>
          </a:r>
        </a:p>
      </xdr:txBody>
    </xdr:sp>
    <xdr:clientData/>
  </xdr:twoCellAnchor>
  <xdr:twoCellAnchor>
    <xdr:from>
      <xdr:col>1</xdr:col>
      <xdr:colOff>92075</xdr:colOff>
      <xdr:row>12</xdr:row>
      <xdr:rowOff>114301</xdr:rowOff>
    </xdr:from>
    <xdr:to>
      <xdr:col>3</xdr:col>
      <xdr:colOff>615950</xdr:colOff>
      <xdr:row>16</xdr:row>
      <xdr:rowOff>104775</xdr:rowOff>
    </xdr:to>
    <xdr:sp macro="" textlink="">
      <xdr:nvSpPr>
        <xdr:cNvPr id="6" name="Speech Bubble: Rectangle with Corners Rounded 5">
          <a:extLst>
            <a:ext uri="{FF2B5EF4-FFF2-40B4-BE49-F238E27FC236}">
              <a16:creationId xmlns:a16="http://schemas.microsoft.com/office/drawing/2014/main" id="{F2FC3E26-E1A2-F591-7FBB-EBE3563A603F}"/>
            </a:ext>
          </a:extLst>
        </xdr:cNvPr>
        <xdr:cNvSpPr/>
      </xdr:nvSpPr>
      <xdr:spPr>
        <a:xfrm>
          <a:off x="1225550" y="3352801"/>
          <a:ext cx="1819275" cy="714374"/>
        </a:xfrm>
        <a:prstGeom prst="wedgeRoundRectCallout">
          <a:avLst>
            <a:gd name="adj1" fmla="val -51074"/>
            <a:gd name="adj2" fmla="val -92808"/>
            <a:gd name="adj3" fmla="val 16667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rtlCol="0" anchor="t"/>
        <a:lstStyle/>
        <a:p>
          <a:pPr algn="l"/>
          <a:r>
            <a:rPr lang="en-GB" sz="1100"/>
            <a:t>Same date can be added if there are </a:t>
          </a:r>
          <a:r>
            <a:rPr lang="en-GB" sz="1100" b="1">
              <a:solidFill>
                <a:srgbClr val="FF0000"/>
              </a:solidFill>
            </a:rPr>
            <a:t>more than one activity </a:t>
          </a:r>
          <a:r>
            <a:rPr lang="en-GB" sz="1100" b="0">
              <a:solidFill>
                <a:schemeClr val="bg1"/>
              </a:solidFill>
            </a:rPr>
            <a:t>on single day</a:t>
          </a:r>
        </a:p>
      </xdr:txBody>
    </xdr:sp>
    <xdr:clientData/>
  </xdr:twoCellAnchor>
  <xdr:twoCellAnchor>
    <xdr:from>
      <xdr:col>0</xdr:col>
      <xdr:colOff>635000</xdr:colOff>
      <xdr:row>0</xdr:row>
      <xdr:rowOff>514350</xdr:rowOff>
    </xdr:from>
    <xdr:to>
      <xdr:col>3</xdr:col>
      <xdr:colOff>806450</xdr:colOff>
      <xdr:row>2</xdr:row>
      <xdr:rowOff>292100</xdr:rowOff>
    </xdr:to>
    <xdr:sp macro="" textlink="">
      <xdr:nvSpPr>
        <xdr:cNvPr id="7" name="Speech Bubble: Rectangle with Corners Rounded 6">
          <a:extLst>
            <a:ext uri="{FF2B5EF4-FFF2-40B4-BE49-F238E27FC236}">
              <a16:creationId xmlns:a16="http://schemas.microsoft.com/office/drawing/2014/main" id="{44FC7289-4027-4418-8BB0-E97EB19406BA}"/>
            </a:ext>
          </a:extLst>
        </xdr:cNvPr>
        <xdr:cNvSpPr/>
      </xdr:nvSpPr>
      <xdr:spPr>
        <a:xfrm>
          <a:off x="635000" y="514350"/>
          <a:ext cx="2514600" cy="558800"/>
        </a:xfrm>
        <a:prstGeom prst="wedgeRoundRectCallout">
          <a:avLst>
            <a:gd name="adj1" fmla="val -56462"/>
            <a:gd name="adj2" fmla="val -25421"/>
            <a:gd name="adj3" fmla="val 16667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rtlCol="0" anchor="t"/>
        <a:lstStyle/>
        <a:p>
          <a:pPr algn="l"/>
          <a:r>
            <a:rPr lang="en-GB" sz="1100"/>
            <a:t>Select the preferred </a:t>
          </a:r>
          <a:r>
            <a:rPr lang="en-GB" sz="1100" baseline="0"/>
            <a:t>language. Please note that all file will not be translated.</a:t>
          </a:r>
          <a:endParaRPr lang="en-GB" sz="1100"/>
        </a:p>
      </xdr:txBody>
    </xdr:sp>
    <xdr:clientData/>
  </xdr:twoCellAnchor>
  <xdr:twoCellAnchor>
    <xdr:from>
      <xdr:col>4</xdr:col>
      <xdr:colOff>1133475</xdr:colOff>
      <xdr:row>9</xdr:row>
      <xdr:rowOff>85724</xdr:rowOff>
    </xdr:from>
    <xdr:to>
      <xdr:col>9</xdr:col>
      <xdr:colOff>187325</xdr:colOff>
      <xdr:row>13</xdr:row>
      <xdr:rowOff>161925</xdr:rowOff>
    </xdr:to>
    <xdr:sp macro="" textlink="">
      <xdr:nvSpPr>
        <xdr:cNvPr id="8" name="Speech Bubble: Rectangle with Corners Rounded 7">
          <a:extLst>
            <a:ext uri="{FF2B5EF4-FFF2-40B4-BE49-F238E27FC236}">
              <a16:creationId xmlns:a16="http://schemas.microsoft.com/office/drawing/2014/main" id="{60F7463F-30BA-45BD-8574-EA324D9E2F85}"/>
            </a:ext>
          </a:extLst>
        </xdr:cNvPr>
        <xdr:cNvSpPr/>
      </xdr:nvSpPr>
      <xdr:spPr>
        <a:xfrm>
          <a:off x="4448175" y="2781299"/>
          <a:ext cx="2082800" cy="800101"/>
        </a:xfrm>
        <a:prstGeom prst="wedgeRoundRectCallout">
          <a:avLst>
            <a:gd name="adj1" fmla="val 40302"/>
            <a:gd name="adj2" fmla="val -99285"/>
            <a:gd name="adj3" fmla="val 16667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rtlCol="0" anchor="t"/>
        <a:lstStyle/>
        <a:p>
          <a:pPr algn="l"/>
          <a:r>
            <a:rPr lang="en-GB" sz="1100"/>
            <a:t>Please</a:t>
          </a:r>
          <a:r>
            <a:rPr lang="en-GB" sz="1100" baseline="0"/>
            <a:t> input </a:t>
          </a:r>
          <a:r>
            <a:rPr lang="en-GB" sz="1100" b="1" baseline="0">
              <a:solidFill>
                <a:srgbClr val="FF0000"/>
              </a:solidFill>
            </a:rPr>
            <a:t>all </a:t>
          </a:r>
          <a:r>
            <a:rPr lang="en-GB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performed</a:t>
          </a:r>
          <a:r>
            <a:rPr lang="en-GB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b="1" baseline="0">
              <a:solidFill>
                <a:srgbClr val="FF0000"/>
              </a:solidFill>
            </a:rPr>
            <a:t>activities and standby's </a:t>
          </a:r>
          <a:r>
            <a:rPr lang="en-GB" sz="1100" baseline="0"/>
            <a:t> during the day</a:t>
          </a:r>
          <a:endParaRPr lang="en-GB" sz="1100"/>
        </a:p>
      </xdr:txBody>
    </xdr:sp>
    <xdr:clientData/>
  </xdr:twoCellAnchor>
  <xdr:twoCellAnchor>
    <xdr:from>
      <xdr:col>10</xdr:col>
      <xdr:colOff>38100</xdr:colOff>
      <xdr:row>13</xdr:row>
      <xdr:rowOff>38100</xdr:rowOff>
    </xdr:from>
    <xdr:to>
      <xdr:col>11</xdr:col>
      <xdr:colOff>254000</xdr:colOff>
      <xdr:row>16</xdr:row>
      <xdr:rowOff>0</xdr:rowOff>
    </xdr:to>
    <xdr:sp macro="" textlink="">
      <xdr:nvSpPr>
        <xdr:cNvPr id="9" name="Speech Bubble: Rectangle with Corners Rounded 8">
          <a:extLst>
            <a:ext uri="{FF2B5EF4-FFF2-40B4-BE49-F238E27FC236}">
              <a16:creationId xmlns:a16="http://schemas.microsoft.com/office/drawing/2014/main" id="{14A57556-1850-4305-A8FF-8AEA518225F1}"/>
            </a:ext>
          </a:extLst>
        </xdr:cNvPr>
        <xdr:cNvSpPr/>
      </xdr:nvSpPr>
      <xdr:spPr>
        <a:xfrm>
          <a:off x="7915275" y="3457575"/>
          <a:ext cx="1958975" cy="676275"/>
        </a:xfrm>
        <a:prstGeom prst="wedgeRoundRectCallout">
          <a:avLst>
            <a:gd name="adj1" fmla="val 1143"/>
            <a:gd name="adj2" fmla="val -107240"/>
            <a:gd name="adj3" fmla="val 16667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rtlCol="0" anchor="t"/>
        <a:lstStyle/>
        <a:p>
          <a:pPr algn="l"/>
          <a:r>
            <a:rPr lang="en-GB" sz="1100"/>
            <a:t>Leave empty</a:t>
          </a:r>
          <a:r>
            <a:rPr lang="en-GB" sz="1100" baseline="0"/>
            <a:t> if the dropdown will not filled. Not mandatory for all the activities</a:t>
          </a:r>
          <a:endParaRPr lang="en-GB" sz="1100"/>
        </a:p>
      </xdr:txBody>
    </xdr:sp>
    <xdr:clientData/>
  </xdr:twoCellAnchor>
  <xdr:twoCellAnchor>
    <xdr:from>
      <xdr:col>17</xdr:col>
      <xdr:colOff>9524</xdr:colOff>
      <xdr:row>11</xdr:row>
      <xdr:rowOff>142876</xdr:rowOff>
    </xdr:from>
    <xdr:to>
      <xdr:col>20</xdr:col>
      <xdr:colOff>733424</xdr:colOff>
      <xdr:row>15</xdr:row>
      <xdr:rowOff>123825</xdr:rowOff>
    </xdr:to>
    <xdr:sp macro="" textlink="">
      <xdr:nvSpPr>
        <xdr:cNvPr id="11" name="Speech Bubble: Rectangle with Corners Rounded 10">
          <a:extLst>
            <a:ext uri="{FF2B5EF4-FFF2-40B4-BE49-F238E27FC236}">
              <a16:creationId xmlns:a16="http://schemas.microsoft.com/office/drawing/2014/main" id="{B696CA72-EB0D-474D-B1BC-65405971D8A0}"/>
            </a:ext>
          </a:extLst>
        </xdr:cNvPr>
        <xdr:cNvSpPr/>
      </xdr:nvSpPr>
      <xdr:spPr>
        <a:xfrm>
          <a:off x="13268324" y="3200401"/>
          <a:ext cx="2333625" cy="704849"/>
        </a:xfrm>
        <a:prstGeom prst="wedgeRoundRectCallout">
          <a:avLst>
            <a:gd name="adj1" fmla="val 1143"/>
            <a:gd name="adj2" fmla="val -107240"/>
            <a:gd name="adj3" fmla="val 16667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rtlCol="0" anchor="t"/>
        <a:lstStyle/>
        <a:p>
          <a:pPr algn="l"/>
          <a:r>
            <a:rPr lang="en-GB" sz="1100"/>
            <a:t>Daily</a:t>
          </a:r>
          <a:r>
            <a:rPr lang="en-GB" sz="1100" baseline="0"/>
            <a:t> input is required for this area. You can leave empty if you have an input for the same day already.</a:t>
          </a:r>
          <a:endParaRPr lang="en-GB" sz="1100"/>
        </a:p>
      </xdr:txBody>
    </xdr:sp>
    <xdr:clientData/>
  </xdr:twoCellAnchor>
  <xdr:twoCellAnchor>
    <xdr:from>
      <xdr:col>12</xdr:col>
      <xdr:colOff>438150</xdr:colOff>
      <xdr:row>10</xdr:row>
      <xdr:rowOff>0</xdr:rowOff>
    </xdr:from>
    <xdr:to>
      <xdr:col>16</xdr:col>
      <xdr:colOff>171450</xdr:colOff>
      <xdr:row>16</xdr:row>
      <xdr:rowOff>0</xdr:rowOff>
    </xdr:to>
    <xdr:sp macro="" textlink="">
      <xdr:nvSpPr>
        <xdr:cNvPr id="12" name="Speech Bubble: Rectangle with Corners Rounded 11">
          <a:extLst>
            <a:ext uri="{FF2B5EF4-FFF2-40B4-BE49-F238E27FC236}">
              <a16:creationId xmlns:a16="http://schemas.microsoft.com/office/drawing/2014/main" id="{2ACFC631-7C91-4CB9-A4A3-156EC628B950}"/>
            </a:ext>
          </a:extLst>
        </xdr:cNvPr>
        <xdr:cNvSpPr/>
      </xdr:nvSpPr>
      <xdr:spPr>
        <a:xfrm>
          <a:off x="10563225" y="2876550"/>
          <a:ext cx="2286000" cy="1266825"/>
        </a:xfrm>
        <a:prstGeom prst="wedgeRoundRectCallout">
          <a:avLst>
            <a:gd name="adj1" fmla="val -1635"/>
            <a:gd name="adj2" fmla="val -82746"/>
            <a:gd name="adj3" fmla="val 16667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rtlCol="0" anchor="t"/>
        <a:lstStyle/>
        <a:p>
          <a:pPr algn="l"/>
          <a:r>
            <a:rPr lang="en-GB" sz="1100"/>
            <a:t>Input how many days are remaining for</a:t>
          </a:r>
          <a:r>
            <a:rPr lang="en-GB" sz="1100" baseline="0"/>
            <a:t> the end of the project. </a:t>
          </a:r>
          <a:r>
            <a:rPr lang="en-GB" sz="1100" b="1" baseline="0">
              <a:solidFill>
                <a:srgbClr val="FF0000"/>
              </a:solidFill>
            </a:rPr>
            <a:t>This is an estimation</a:t>
          </a:r>
          <a:r>
            <a:rPr lang="en-GB" sz="1100" baseline="0"/>
            <a:t>. Please do not change the previous records. </a:t>
          </a:r>
          <a:r>
            <a:rPr lang="en-GB" sz="1100" b="1" baseline="0">
              <a:solidFill>
                <a:srgbClr val="FF0000"/>
              </a:solidFill>
            </a:rPr>
            <a:t>Remaining days can also increase </a:t>
          </a:r>
          <a:r>
            <a:rPr lang="en-GB" sz="1100" baseline="0"/>
            <a:t>by time. </a:t>
          </a:r>
          <a:endParaRPr lang="en-GB" sz="1100"/>
        </a:p>
      </xdr:txBody>
    </xdr:sp>
    <xdr:clientData/>
  </xdr:twoCellAnchor>
  <xdr:twoCellAnchor>
    <xdr:from>
      <xdr:col>0</xdr:col>
      <xdr:colOff>9525</xdr:colOff>
      <xdr:row>3</xdr:row>
      <xdr:rowOff>1</xdr:rowOff>
    </xdr:from>
    <xdr:to>
      <xdr:col>1</xdr:col>
      <xdr:colOff>28575</xdr:colOff>
      <xdr:row>5</xdr:row>
      <xdr:rowOff>28576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C28F9669-669F-4521-955A-A13F12692DDF}"/>
            </a:ext>
          </a:extLst>
        </xdr:cNvPr>
        <xdr:cNvSpPr/>
      </xdr:nvSpPr>
      <xdr:spPr>
        <a:xfrm>
          <a:off x="9525" y="1600201"/>
          <a:ext cx="1057275" cy="400050"/>
        </a:xfrm>
        <a:prstGeom prst="rect">
          <a:avLst/>
        </a:prstGeom>
        <a:noFill/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1397000</xdr:colOff>
      <xdr:row>0</xdr:row>
      <xdr:rowOff>390525</xdr:rowOff>
    </xdr:from>
    <xdr:to>
      <xdr:col>9</xdr:col>
      <xdr:colOff>330200</xdr:colOff>
      <xdr:row>2</xdr:row>
      <xdr:rowOff>101600</xdr:rowOff>
    </xdr:to>
    <xdr:sp macro="" textlink="">
      <xdr:nvSpPr>
        <xdr:cNvPr id="14" name="Speech Bubble: Rectangle with Corners Rounded 13">
          <a:extLst>
            <a:ext uri="{FF2B5EF4-FFF2-40B4-BE49-F238E27FC236}">
              <a16:creationId xmlns:a16="http://schemas.microsoft.com/office/drawing/2014/main" id="{C04730E0-BC46-4027-BEBF-637C241FE7DB}"/>
            </a:ext>
          </a:extLst>
        </xdr:cNvPr>
        <xdr:cNvSpPr/>
      </xdr:nvSpPr>
      <xdr:spPr>
        <a:xfrm>
          <a:off x="4711700" y="390525"/>
          <a:ext cx="1962150" cy="492125"/>
        </a:xfrm>
        <a:prstGeom prst="wedgeRoundRectCallout">
          <a:avLst>
            <a:gd name="adj1" fmla="val 47745"/>
            <a:gd name="adj2" fmla="val -124153"/>
            <a:gd name="adj3" fmla="val 16667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rtlCol="0" anchor="t"/>
        <a:lstStyle/>
        <a:p>
          <a:pPr algn="l"/>
          <a:r>
            <a:rPr lang="en-GB" sz="1100"/>
            <a:t>Click</a:t>
          </a:r>
          <a:r>
            <a:rPr lang="en-GB" sz="1100" baseline="0"/>
            <a:t> on "+" to reveal more inputs for Technician name</a:t>
          </a:r>
          <a:endParaRPr lang="en-GB" sz="1100"/>
        </a:p>
      </xdr:txBody>
    </xdr:sp>
    <xdr:clientData/>
  </xdr:twoCellAnchor>
  <xdr:twoCellAnchor>
    <xdr:from>
      <xdr:col>0</xdr:col>
      <xdr:colOff>19051</xdr:colOff>
      <xdr:row>7</xdr:row>
      <xdr:rowOff>171450</xdr:rowOff>
    </xdr:from>
    <xdr:to>
      <xdr:col>1</xdr:col>
      <xdr:colOff>28576</xdr:colOff>
      <xdr:row>11</xdr:row>
      <xdr:rowOff>9525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C1B5241A-8064-4AC7-BAA5-C92E243415AF}"/>
            </a:ext>
          </a:extLst>
        </xdr:cNvPr>
        <xdr:cNvSpPr/>
      </xdr:nvSpPr>
      <xdr:spPr>
        <a:xfrm>
          <a:off x="19051" y="2505075"/>
          <a:ext cx="1047750" cy="561975"/>
        </a:xfrm>
        <a:prstGeom prst="rect">
          <a:avLst/>
        </a:prstGeom>
        <a:noFill/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0</xdr:col>
      <xdr:colOff>0</xdr:colOff>
      <xdr:row>0</xdr:row>
      <xdr:rowOff>0</xdr:rowOff>
    </xdr:from>
    <xdr:ext cx="1980707" cy="542925"/>
    <xdr:pic>
      <xdr:nvPicPr>
        <xdr:cNvPr id="26" name="Picture 25">
          <a:extLst>
            <a:ext uri="{FF2B5EF4-FFF2-40B4-BE49-F238E27FC236}">
              <a16:creationId xmlns:a16="http://schemas.microsoft.com/office/drawing/2014/main" id="{2846CD02-4F1B-4829-BBE6-8C013409F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0"/>
          <a:ext cx="1980707" cy="542925"/>
        </a:xfrm>
        <a:prstGeom prst="rect">
          <a:avLst/>
        </a:prstGeom>
      </xdr:spPr>
    </xdr:pic>
    <xdr:clientData/>
  </xdr:oneCellAnchor>
  <xdr:twoCellAnchor>
    <xdr:from>
      <xdr:col>2</xdr:col>
      <xdr:colOff>0</xdr:colOff>
      <xdr:row>0</xdr:row>
      <xdr:rowOff>0</xdr:rowOff>
    </xdr:from>
    <xdr:to>
      <xdr:col>5</xdr:col>
      <xdr:colOff>733425</xdr:colOff>
      <xdr:row>1</xdr:row>
      <xdr:rowOff>12700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9CC8C1CA-5163-4800-98F1-4CAA94619207}"/>
            </a:ext>
          </a:extLst>
        </xdr:cNvPr>
        <xdr:cNvSpPr txBox="1"/>
      </xdr:nvSpPr>
      <xdr:spPr>
        <a:xfrm>
          <a:off x="1790700" y="0"/>
          <a:ext cx="3759200" cy="552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l"/>
          <a:r>
            <a:rPr lang="en-US" sz="1000" i="1"/>
            <a:t> Remaining Days : 0 days
 Total Time Spent : 42 hours (Active:34/Standby:8)
 Teamhour Spent : 66 hours</a:t>
          </a:r>
        </a:p>
      </xdr:txBody>
    </xdr:sp>
    <xdr:clientData/>
  </xdr:twoCellAnchor>
  <xdr:twoCellAnchor>
    <xdr:from>
      <xdr:col>19</xdr:col>
      <xdr:colOff>0</xdr:colOff>
      <xdr:row>0</xdr:row>
      <xdr:rowOff>0</xdr:rowOff>
    </xdr:from>
    <xdr:to>
      <xdr:col>21</xdr:col>
      <xdr:colOff>120650</xdr:colOff>
      <xdr:row>1</xdr:row>
      <xdr:rowOff>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45D7698E-7B43-40BD-BA3D-549E47763D85}"/>
            </a:ext>
          </a:extLst>
        </xdr:cNvPr>
        <xdr:cNvSpPr txBox="1"/>
      </xdr:nvSpPr>
      <xdr:spPr>
        <a:xfrm>
          <a:off x="14211300" y="0"/>
          <a:ext cx="1533525" cy="542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r>
            <a:rPr lang="en-US"/>
            <a:t> Total Standby 
8 hours</a:t>
          </a:r>
        </a:p>
      </xdr:txBody>
    </xdr:sp>
    <xdr:clientData/>
  </xdr:twoCellAnchor>
  <xdr:twoCellAnchor>
    <xdr:from>
      <xdr:col>21</xdr:col>
      <xdr:colOff>184150</xdr:colOff>
      <xdr:row>0</xdr:row>
      <xdr:rowOff>0</xdr:rowOff>
    </xdr:from>
    <xdr:to>
      <xdr:col>25</xdr:col>
      <xdr:colOff>0</xdr:colOff>
      <xdr:row>0</xdr:row>
      <xdr:rowOff>539750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6B040DDD-B9E3-4947-9953-76104A89B1B8}"/>
            </a:ext>
          </a:extLst>
        </xdr:cNvPr>
        <xdr:cNvSpPr txBox="1"/>
      </xdr:nvSpPr>
      <xdr:spPr>
        <a:xfrm>
          <a:off x="15801975" y="0"/>
          <a:ext cx="1971675" cy="542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l"/>
          <a:r>
            <a:rPr lang="en-US" sz="1000" i="1"/>
            <a:t> ISP Related : 0 hours
 NX Related : 0 hours
 Weather Related : 8 hours</a:t>
          </a:r>
        </a:p>
      </xdr:txBody>
    </xdr:sp>
    <xdr:clientData/>
  </xdr:twoCellAnchor>
  <xdr:twoCellAnchor>
    <xdr:from>
      <xdr:col>0</xdr:col>
      <xdr:colOff>635000</xdr:colOff>
      <xdr:row>0</xdr:row>
      <xdr:rowOff>514350</xdr:rowOff>
    </xdr:from>
    <xdr:to>
      <xdr:col>3</xdr:col>
      <xdr:colOff>806450</xdr:colOff>
      <xdr:row>2</xdr:row>
      <xdr:rowOff>292100</xdr:rowOff>
    </xdr:to>
    <xdr:sp macro="" textlink="">
      <xdr:nvSpPr>
        <xdr:cNvPr id="30" name="Speech Bubble: Rectangle with Corners Rounded 29">
          <a:extLst>
            <a:ext uri="{FF2B5EF4-FFF2-40B4-BE49-F238E27FC236}">
              <a16:creationId xmlns:a16="http://schemas.microsoft.com/office/drawing/2014/main" id="{4C223254-031A-4AD3-A7FB-9C87E21D0082}"/>
            </a:ext>
          </a:extLst>
        </xdr:cNvPr>
        <xdr:cNvSpPr/>
      </xdr:nvSpPr>
      <xdr:spPr>
        <a:xfrm>
          <a:off x="638175" y="514350"/>
          <a:ext cx="2505075" cy="561975"/>
        </a:xfrm>
        <a:prstGeom prst="wedgeRoundRectCallout">
          <a:avLst>
            <a:gd name="adj1" fmla="val -56462"/>
            <a:gd name="adj2" fmla="val -25421"/>
            <a:gd name="adj3" fmla="val 16667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rtlCol="0" anchor="t"/>
        <a:lstStyle/>
        <a:p>
          <a:pPr algn="l"/>
          <a:r>
            <a:rPr lang="en-GB" sz="1100"/>
            <a:t>Select the preferred </a:t>
          </a:r>
          <a:r>
            <a:rPr lang="en-GB" sz="1100" baseline="0"/>
            <a:t>language. Please note that all file will not be translated.</a:t>
          </a:r>
          <a:endParaRPr lang="en-GB" sz="1100"/>
        </a:p>
      </xdr:txBody>
    </xdr:sp>
    <xdr:clientData/>
  </xdr:twoCellAnchor>
  <xdr:twoCellAnchor>
    <xdr:from>
      <xdr:col>4</xdr:col>
      <xdr:colOff>1133475</xdr:colOff>
      <xdr:row>9</xdr:row>
      <xdr:rowOff>85724</xdr:rowOff>
    </xdr:from>
    <xdr:to>
      <xdr:col>9</xdr:col>
      <xdr:colOff>187325</xdr:colOff>
      <xdr:row>13</xdr:row>
      <xdr:rowOff>161925</xdr:rowOff>
    </xdr:to>
    <xdr:sp macro="" textlink="">
      <xdr:nvSpPr>
        <xdr:cNvPr id="31" name="Speech Bubble: Rectangle with Corners Rounded 30">
          <a:extLst>
            <a:ext uri="{FF2B5EF4-FFF2-40B4-BE49-F238E27FC236}">
              <a16:creationId xmlns:a16="http://schemas.microsoft.com/office/drawing/2014/main" id="{32DA7550-91AB-4C92-87F9-E9BE85B39FAD}"/>
            </a:ext>
          </a:extLst>
        </xdr:cNvPr>
        <xdr:cNvSpPr/>
      </xdr:nvSpPr>
      <xdr:spPr>
        <a:xfrm>
          <a:off x="4445000" y="2784474"/>
          <a:ext cx="2085975" cy="793751"/>
        </a:xfrm>
        <a:prstGeom prst="wedgeRoundRectCallout">
          <a:avLst>
            <a:gd name="adj1" fmla="val 40302"/>
            <a:gd name="adj2" fmla="val -99285"/>
            <a:gd name="adj3" fmla="val 16667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rtlCol="0" anchor="t"/>
        <a:lstStyle/>
        <a:p>
          <a:pPr algn="l"/>
          <a:r>
            <a:rPr lang="en-GB" sz="1100"/>
            <a:t>Please</a:t>
          </a:r>
          <a:r>
            <a:rPr lang="en-GB" sz="1100" baseline="0"/>
            <a:t> input </a:t>
          </a:r>
          <a:r>
            <a:rPr lang="en-GB" sz="1100" b="1" baseline="0">
              <a:solidFill>
                <a:srgbClr val="FF0000"/>
              </a:solidFill>
            </a:rPr>
            <a:t>all </a:t>
          </a:r>
          <a:r>
            <a:rPr lang="en-GB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performed</a:t>
          </a:r>
          <a:r>
            <a:rPr lang="en-GB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b="1" baseline="0">
              <a:solidFill>
                <a:srgbClr val="FF0000"/>
              </a:solidFill>
            </a:rPr>
            <a:t>activities and standby's </a:t>
          </a:r>
          <a:r>
            <a:rPr lang="en-GB" sz="1100" baseline="0"/>
            <a:t> during the day</a:t>
          </a:r>
          <a:endParaRPr lang="en-GB" sz="1100"/>
        </a:p>
      </xdr:txBody>
    </xdr:sp>
    <xdr:clientData/>
  </xdr:twoCellAnchor>
  <xdr:twoCellAnchor>
    <xdr:from>
      <xdr:col>15</xdr:col>
      <xdr:colOff>9525</xdr:colOff>
      <xdr:row>2</xdr:row>
      <xdr:rowOff>9526</xdr:rowOff>
    </xdr:from>
    <xdr:to>
      <xdr:col>22</xdr:col>
      <xdr:colOff>9525</xdr:colOff>
      <xdr:row>9</xdr:row>
      <xdr:rowOff>38101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FA0240C-9FF6-4BB9-B075-5152310C4F01}"/>
            </a:ext>
          </a:extLst>
        </xdr:cNvPr>
        <xdr:cNvSpPr/>
      </xdr:nvSpPr>
      <xdr:spPr>
        <a:xfrm>
          <a:off x="12106275" y="790576"/>
          <a:ext cx="4162425" cy="19431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9525</xdr:colOff>
      <xdr:row>3</xdr:row>
      <xdr:rowOff>1</xdr:rowOff>
    </xdr:from>
    <xdr:to>
      <xdr:col>1</xdr:col>
      <xdr:colOff>28575</xdr:colOff>
      <xdr:row>5</xdr:row>
      <xdr:rowOff>28576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DC23D013-43F6-4FB1-A472-BF64FCC1488D}"/>
            </a:ext>
          </a:extLst>
        </xdr:cNvPr>
        <xdr:cNvSpPr/>
      </xdr:nvSpPr>
      <xdr:spPr>
        <a:xfrm>
          <a:off x="6350" y="1600201"/>
          <a:ext cx="1057275" cy="3968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1397000</xdr:colOff>
      <xdr:row>0</xdr:row>
      <xdr:rowOff>390525</xdr:rowOff>
    </xdr:from>
    <xdr:to>
      <xdr:col>9</xdr:col>
      <xdr:colOff>330200</xdr:colOff>
      <xdr:row>2</xdr:row>
      <xdr:rowOff>101600</xdr:rowOff>
    </xdr:to>
    <xdr:sp macro="" textlink="">
      <xdr:nvSpPr>
        <xdr:cNvPr id="34" name="Speech Bubble: Rectangle with Corners Rounded 33">
          <a:extLst>
            <a:ext uri="{FF2B5EF4-FFF2-40B4-BE49-F238E27FC236}">
              <a16:creationId xmlns:a16="http://schemas.microsoft.com/office/drawing/2014/main" id="{CB6AF0F4-A109-4383-B903-3672F02D8527}"/>
            </a:ext>
          </a:extLst>
        </xdr:cNvPr>
        <xdr:cNvSpPr/>
      </xdr:nvSpPr>
      <xdr:spPr>
        <a:xfrm>
          <a:off x="4714875" y="387350"/>
          <a:ext cx="1962150" cy="498475"/>
        </a:xfrm>
        <a:prstGeom prst="wedgeRoundRectCallout">
          <a:avLst>
            <a:gd name="adj1" fmla="val 47745"/>
            <a:gd name="adj2" fmla="val -124153"/>
            <a:gd name="adj3" fmla="val 16667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rtlCol="0" anchor="t"/>
        <a:lstStyle/>
        <a:p>
          <a:pPr algn="l"/>
          <a:r>
            <a:rPr lang="en-GB" sz="1100"/>
            <a:t>Click</a:t>
          </a:r>
          <a:r>
            <a:rPr lang="en-GB" sz="1100" baseline="0"/>
            <a:t> on "+" to reveal more inputs for Technician name</a:t>
          </a:r>
          <a:endParaRPr lang="en-GB" sz="1100"/>
        </a:p>
      </xdr:txBody>
    </xdr:sp>
    <xdr:clientData/>
  </xdr:twoCellAnchor>
  <xdr:twoCellAnchor>
    <xdr:from>
      <xdr:col>0</xdr:col>
      <xdr:colOff>19051</xdr:colOff>
      <xdr:row>7</xdr:row>
      <xdr:rowOff>171450</xdr:rowOff>
    </xdr:from>
    <xdr:to>
      <xdr:col>1</xdr:col>
      <xdr:colOff>28576</xdr:colOff>
      <xdr:row>11</xdr:row>
      <xdr:rowOff>9525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838BF1AD-2CCB-49DB-8FCC-F3A75FE4A676}"/>
            </a:ext>
          </a:extLst>
        </xdr:cNvPr>
        <xdr:cNvSpPr/>
      </xdr:nvSpPr>
      <xdr:spPr>
        <a:xfrm>
          <a:off x="19051" y="2505075"/>
          <a:ext cx="1044575" cy="5588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" displayName="Table3" ref="A1:A37" totalsRowShown="0" headerRowDxfId="31" dataDxfId="29" headerRowBorderDxfId="30" tableBorderDxfId="28" dataCellStyle="Normal 2">
  <autoFilter ref="A1:A37" xr:uid="{00000000-0009-0000-0100-000001000000}"/>
  <tableColumns count="1">
    <tableColumn id="1" xr3:uid="{00000000-0010-0000-0000-000001000000}" name="TYPE of work" dataDxfId="27" dataCellStyle="Normal 2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4" displayName="Table4" ref="B2:B14" totalsRowShown="0" headerRowDxfId="26" dataDxfId="24" headerRowBorderDxfId="25" tableBorderDxfId="23">
  <autoFilter ref="B2:B14" xr:uid="{00000000-0009-0000-0100-000002000000}"/>
  <sortState xmlns:xlrd2="http://schemas.microsoft.com/office/spreadsheetml/2017/richdata2" ref="B3:B14">
    <sortCondition ref="B2:B14"/>
  </sortState>
  <tableColumns count="1">
    <tableColumn id="1" xr3:uid="{00000000-0010-0000-0100-000001000000}" name="PREPARATION" dataDxfId="22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5" displayName="Table5" ref="D2:D9" totalsRowShown="0" headerRowDxfId="21" dataDxfId="19" headerRowBorderDxfId="20" tableBorderDxfId="18">
  <autoFilter ref="D2:D9" xr:uid="{00000000-0009-0000-0100-000003000000}"/>
  <sortState xmlns:xlrd2="http://schemas.microsoft.com/office/spreadsheetml/2017/richdata2" ref="D3:D9">
    <sortCondition ref="D2:D9"/>
  </sortState>
  <tableColumns count="1">
    <tableColumn id="1" xr3:uid="{00000000-0010-0000-0200-000001000000}" name="Rework" dataDxfId="17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6" displayName="Table6" ref="E2:E19" totalsRowShown="0" headerRowDxfId="16" dataDxfId="14" headerRowBorderDxfId="15" tableBorderDxfId="13">
  <autoFilter ref="E2:E19" xr:uid="{00000000-0009-0000-0100-000004000000}"/>
  <sortState xmlns:xlrd2="http://schemas.microsoft.com/office/spreadsheetml/2017/richdata2" ref="E3:E19">
    <sortCondition ref="E2:E19"/>
  </sortState>
  <tableColumns count="1">
    <tableColumn id="1" xr3:uid="{00000000-0010-0000-0300-000001000000}" name="STANDBY" dataDxfId="12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9" displayName="Table9" ref="C2:C19" totalsRowShown="0" headerRowDxfId="11" dataDxfId="9" headerRowBorderDxfId="10" tableBorderDxfId="8">
  <autoFilter ref="C2:C19" xr:uid="{00000000-0009-0000-0100-000007000000}"/>
  <tableColumns count="1">
    <tableColumn id="1" xr3:uid="{00000000-0010-0000-0600-000001000000}" name="Meters" dataDxfId="7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11" displayName="Table11" ref="F2:F6" totalsRowShown="0" headerRowDxfId="6" dataDxfId="5" tableBorderDxfId="4" headerRowCellStyle="Normal 2">
  <autoFilter ref="F2:F6" xr:uid="{00000000-0009-0000-0100-000009000000}"/>
  <tableColumns count="1">
    <tableColumn id="1" xr3:uid="{00000000-0010-0000-0800-000001000000}" name="External Inspection" dataDxfId="3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Y196"/>
  <sheetViews>
    <sheetView showGridLines="0" tabSelected="1" zoomScaleNormal="100" workbookViewId="0">
      <pane ySplit="4" topLeftCell="A5" activePane="bottomLeft" state="frozen"/>
      <selection pane="bottomLeft" activeCell="B5" sqref="B5"/>
    </sheetView>
  </sheetViews>
  <sheetFormatPr defaultRowHeight="14.5" zeroHeight="1" outlineLevelCol="1" x14ac:dyDescent="0.35"/>
  <cols>
    <col min="1" max="1" width="18.1796875" style="24" customWidth="1"/>
    <col min="2" max="2" width="10.81640625" style="2" customWidth="1"/>
    <col min="3" max="3" width="8.81640625" style="2" customWidth="1"/>
    <col min="4" max="4" width="14" style="26" customWidth="1"/>
    <col min="5" max="5" width="17.1796875" style="26" customWidth="1"/>
    <col min="6" max="6" width="17.7265625" style="26" customWidth="1"/>
    <col min="7" max="8" width="18.54296875" style="26" hidden="1" customWidth="1" outlineLevel="1"/>
    <col min="9" max="9" width="20.90625" style="26" hidden="1" customWidth="1" outlineLevel="1"/>
    <col min="10" max="10" width="23.90625" style="26" customWidth="1" collapsed="1"/>
    <col min="11" max="11" width="25" style="26" customWidth="1"/>
    <col min="12" max="12" width="8.90625" style="32" customWidth="1"/>
    <col min="13" max="13" width="7.453125" style="32" customWidth="1"/>
    <col min="14" max="14" width="17" style="26" customWidth="1"/>
    <col min="15" max="15" width="9.90625" style="33" customWidth="1"/>
    <col min="16" max="17" width="8.453125" style="5" customWidth="1"/>
    <col min="18" max="18" width="10.90625" style="6" customWidth="1"/>
    <col min="19" max="19" width="10.81640625" style="6" customWidth="1"/>
    <col min="20" max="20" width="9.453125" style="3" customWidth="1"/>
    <col min="21" max="21" width="11.54296875" style="4" bestFit="1" customWidth="1"/>
    <col min="22" max="22" width="9.26953125" style="3" bestFit="1" customWidth="1"/>
    <col min="23" max="23" width="6.6328125" customWidth="1"/>
    <col min="24" max="24" width="7" customWidth="1"/>
    <col min="25" max="25" width="6.36328125" bestFit="1" customWidth="1"/>
  </cols>
  <sheetData>
    <row r="1" spans="1:25" ht="43" customHeight="1" thickTop="1" thickBot="1" x14ac:dyDescent="0.4">
      <c r="A1" s="13"/>
      <c r="B1" s="13"/>
      <c r="C1" s="13"/>
      <c r="D1" s="13"/>
      <c r="E1" s="13"/>
      <c r="F1" s="44" t="str">
        <f>INDEX(Variables!$H$1:$AX$10,MATCH($A$2,Variables!$G$1:$G$19,0),31)</f>
        <v>Daily Activity Report - Blade Works</v>
      </c>
      <c r="G1" s="44"/>
      <c r="H1" s="44"/>
      <c r="I1" s="44"/>
      <c r="J1" s="44"/>
      <c r="K1" s="44"/>
      <c r="L1" s="44"/>
      <c r="M1" s="44"/>
      <c r="N1" s="44"/>
      <c r="O1" s="44"/>
      <c r="P1" s="44"/>
      <c r="Q1" s="13"/>
      <c r="R1" s="13"/>
      <c r="S1" s="13"/>
      <c r="T1" s="13"/>
      <c r="U1" s="13"/>
      <c r="V1" s="13"/>
      <c r="W1" s="13"/>
      <c r="X1" s="9"/>
      <c r="Y1" s="10"/>
    </row>
    <row r="2" spans="1:25" ht="18.649999999999999" customHeight="1" thickTop="1" thickBot="1" x14ac:dyDescent="0.4">
      <c r="A2" s="25" t="s">
        <v>0</v>
      </c>
      <c r="B2"/>
      <c r="C2"/>
      <c r="D2" s="14"/>
      <c r="E2" s="14"/>
      <c r="F2" s="42" t="str" cm="1">
        <f t="array" ref="F2">IF(Variables!B1=0,"",INDEX(Variables!$H$1:$AX$10,MATCH($A$2,Variables!$G$1:$G$19,0),30+Variables!B1))</f>
        <v/>
      </c>
      <c r="G2" s="42"/>
      <c r="H2" s="42"/>
      <c r="I2" s="42"/>
      <c r="J2" s="42"/>
      <c r="K2" s="42"/>
      <c r="L2" s="14"/>
      <c r="M2" s="14"/>
      <c r="N2" s="21"/>
      <c r="O2" s="22" t="str">
        <f>IFERROR(VLOOKUP(MAX(A5:A196),A5:O196,15,FALSE),"")</f>
        <v/>
      </c>
      <c r="P2" s="43" t="s">
        <v>253</v>
      </c>
      <c r="Q2" s="43"/>
      <c r="R2" s="43"/>
      <c r="S2" s="43"/>
      <c r="T2" s="43"/>
      <c r="U2" s="22"/>
      <c r="V2" s="22"/>
      <c r="W2" s="14"/>
      <c r="X2" s="15" t="str">
        <f>IF(SUM(X5:X196)=0,"",SUM(X5:X196))</f>
        <v/>
      </c>
      <c r="Y2" s="16" t="str">
        <f>IF(SUM(Y5:Y196)=0,"",SUM(Y5:Y196))</f>
        <v/>
      </c>
    </row>
    <row r="3" spans="1:25" s="27" customFormat="1" ht="64.5" customHeight="1" thickTop="1" thickBot="1" x14ac:dyDescent="0.4">
      <c r="A3" s="8" t="str" cm="1">
        <f t="array" ref="A3">INDEX(Variables!$H$1:$AX$10,MATCH($A$2,Variables!$G$1:$G$19,0),COLUMN(A3))</f>
        <v>Date</v>
      </c>
      <c r="B3" s="8" t="str" cm="1">
        <f t="array" ref="B3">INDEX(Variables!$H$1:$AX$10,MATCH($A$2,Variables!$G$1:$G$19,0),COLUMN(B3))</f>
        <v>Blade 
Serial #</v>
      </c>
      <c r="C3" s="8" t="str" cm="1">
        <f t="array" ref="C3">INDEX(Variables!$H$1:$AX$10,MATCH($A$2,Variables!$G$1:$G$19,0),COLUMN(C3))</f>
        <v>Blade 
Position 
(Pitch #)</v>
      </c>
      <c r="D3" s="8" t="str" cm="1">
        <f t="array" ref="D3">INDEX(Variables!$H$1:$AX$10,MATCH($A$2,Variables!$G$1:$G$19,0),COLUMN(D3))</f>
        <v>Team Supervisor
(if applicable)</v>
      </c>
      <c r="E3" s="8" t="str" cm="1">
        <f t="array" ref="E3">INDEX(Variables!$H$1:$AX$10,MATCH($A$2,Variables!$G$1:$G$19,0),COLUMN(E3))</f>
        <v>Technician 
1</v>
      </c>
      <c r="F3" s="8" t="str" cm="1">
        <f t="array" ref="F3">INDEX(Variables!$H$1:$AX$10,MATCH($A$2,Variables!$G$1:$G$19,0),COLUMN(F3))</f>
        <v>Technician 
2</v>
      </c>
      <c r="G3" s="8" t="str" cm="1">
        <f t="array" ref="G3">INDEX(Variables!$H$1:$AX$10,MATCH($A$2,Variables!$G$1:$G$19,0),COLUMN(G3))</f>
        <v>Technician 
3</v>
      </c>
      <c r="H3" s="8" t="str" cm="1">
        <f t="array" ref="H3">INDEX(Variables!$H$1:$AX$10,MATCH($A$2,Variables!$G$1:$G$19,0),COLUMN(H3))</f>
        <v>Technician 
4</v>
      </c>
      <c r="I3" s="8" t="str" cm="1">
        <f t="array" ref="I3">INDEX(Variables!$H$1:$AX$10,MATCH($A$2,Variables!$G$1:$G$19,0),COLUMN(I3))</f>
        <v>Technician 
5</v>
      </c>
      <c r="J3" s="8" t="str" cm="1">
        <f t="array" ref="J3">INDEX(Variables!$H$1:$AX$10,MATCH($A$2,Variables!$G$1:$G$19,0),COLUMN(J3))</f>
        <v>Activity</v>
      </c>
      <c r="K3" s="8" t="str" cm="1">
        <f t="array" ref="K3">INDEX(Variables!$H$1:$AX$10,MATCH($A$2,Variables!$G$1:$G$19,0),COLUMN(K3))</f>
        <v>Details 
of 
Activity</v>
      </c>
      <c r="L3" s="8" t="str" cm="1">
        <f t="array" ref="L3">INDEX(Variables!$H$1:$AX$10,MATCH($A$2,Variables!$G$1:$G$19,0),COLUMN(L3))</f>
        <v>Working
Time 
[h]</v>
      </c>
      <c r="M3" s="8" t="str" cm="1">
        <f t="array" ref="M3">INDEX(Variables!$H$1:$AX$10,MATCH($A$2,Variables!$G$1:$G$19,0),COLUMN(M3))</f>
        <v>Over 
Time
[h]</v>
      </c>
      <c r="N3" s="8" t="str" cm="1">
        <f t="array" ref="N3">INDEX(Variables!$H$1:$AX$10,MATCH($A$2,Variables!$G$1:$G$19,0),COLUMN(N3))</f>
        <v>Comments</v>
      </c>
      <c r="O3" s="8" t="str" cm="1">
        <f t="array" ref="O3">INDEX(Variables!$H$1:$AX$10,MATCH($A$2,Variables!$G$1:$G$19,0),COLUMN(O3))</f>
        <v>Remaining  Days</v>
      </c>
      <c r="P3" s="8" t="str" cm="1">
        <f t="array" ref="P3">INDEX(Variables!$H$1:$AX$10,MATCH($A$2,Variables!$G$1:$G$19,0),COLUMN(P3))</f>
        <v>Humidity 
Min
(%)</v>
      </c>
      <c r="Q3" s="8" t="str" cm="1">
        <f t="array" ref="Q3">INDEX(Variables!$H$1:$AX$10,MATCH($A$2,Variables!$G$1:$G$19,0),COLUMN(Q3))</f>
        <v>Humidity Max
(%)</v>
      </c>
      <c r="R3" s="8" t="str" cm="1">
        <f t="array" ref="R3">INDEX(Variables!$H$1:$AX$10,MATCH($A$2,Variables!$G$1:$G$19,0),COLUMN(R3))</f>
        <v>Temperature  Min
(°C)</v>
      </c>
      <c r="S3" s="8" t="str" cm="1">
        <f t="array" ref="S3">INDEX(Variables!$H$1:$AX$10,MATCH($A$2,Variables!$G$1:$G$19,0),COLUMN(S3))</f>
        <v>Temperature Max
(°C)</v>
      </c>
      <c r="T3" s="8" t="str" cm="1">
        <f t="array" ref="T3">INDEX(Variables!$H$1:$AX$10,MATCH($A$2,Variables!$G$1:$G$19,0),COLUMN(T3))</f>
        <v>WTG stop Overnight
(Yes/No)</v>
      </c>
      <c r="U3" s="8" t="str" cm="1">
        <f t="array" ref="U3">INDEX(Variables!$H$1:$AX$10,MATCH($A$2,Variables!$G$1:$G$19,0),COLUMN(U3))</f>
        <v>Total KM's travelled on this day
(Kilometers)</v>
      </c>
      <c r="V3" s="8" t="str" cm="1">
        <f t="array" ref="V3">INDEX(Variables!$H$1:$AX$10,MATCH($A$2,Variables!$G$1:$G$19,0),COLUMN(V3))</f>
        <v>Overnight Stay?
(Yes/No)</v>
      </c>
      <c r="W3" s="8" t="str" cm="1">
        <f t="array" ref="W3">INDEX(Variables!$H$1:$AX$10,MATCH($A$2,Variables!$G$1:$G$19,0),COLUMN(W3))</f>
        <v># 
of 
Techs</v>
      </c>
      <c r="X3" s="8" t="str" cm="1">
        <f t="array" ref="X3">INDEX(Variables!$H$1:$AX$10,MATCH($A$2,Variables!$G$1:$G$19,0),COLUMN(X3))</f>
        <v>Total 
hours</v>
      </c>
      <c r="Y3" s="8" t="str" cm="1">
        <f t="array" ref="Y3">INDEX(Variables!$H$1:$AX$10,MATCH($A$2,Variables!$G$1:$G$19,0),COLUMN(Y3))</f>
        <v>Techs 
x 
Hour</v>
      </c>
    </row>
    <row r="4" spans="1:25" ht="0.5" customHeight="1" thickTop="1" x14ac:dyDescent="0.35">
      <c r="A4" s="26">
        <v>1</v>
      </c>
      <c r="B4" s="26">
        <v>2</v>
      </c>
      <c r="C4" s="26">
        <v>3</v>
      </c>
      <c r="D4" s="26">
        <v>4</v>
      </c>
      <c r="E4" s="26">
        <v>5</v>
      </c>
      <c r="F4" s="26">
        <v>6</v>
      </c>
      <c r="G4" s="26">
        <v>7</v>
      </c>
      <c r="H4" s="26">
        <v>8</v>
      </c>
      <c r="I4" s="26">
        <v>9</v>
      </c>
      <c r="J4" s="26">
        <v>10</v>
      </c>
      <c r="K4" s="26">
        <v>11</v>
      </c>
      <c r="L4" s="26">
        <v>12</v>
      </c>
      <c r="M4" s="26">
        <v>13</v>
      </c>
      <c r="N4" s="26">
        <v>14</v>
      </c>
      <c r="O4" s="26">
        <v>15</v>
      </c>
      <c r="P4" s="26">
        <v>16</v>
      </c>
      <c r="Q4" s="26">
        <v>17</v>
      </c>
      <c r="R4" s="26">
        <v>18</v>
      </c>
      <c r="S4" s="26">
        <v>19</v>
      </c>
      <c r="T4" s="26">
        <v>20</v>
      </c>
      <c r="U4" s="26">
        <v>21</v>
      </c>
      <c r="V4" s="26">
        <v>22</v>
      </c>
      <c r="W4" s="26">
        <v>23</v>
      </c>
      <c r="X4" s="30">
        <v>24</v>
      </c>
      <c r="Y4" s="26">
        <v>25</v>
      </c>
    </row>
    <row r="5" spans="1:25" ht="14.5" customHeight="1" x14ac:dyDescent="0.35">
      <c r="L5" s="2"/>
      <c r="M5" s="2"/>
      <c r="O5" s="2"/>
      <c r="W5" s="7" t="str">
        <f t="shared" ref="W5" si="0">IF(COUNTA(E5:I5)=0,"", COUNTA(E5:I5))</f>
        <v/>
      </c>
      <c r="X5" s="31" t="str">
        <f t="shared" ref="X5" si="1">IF(SUM(L5:M5)=0,"",SUM(L5:M5))</f>
        <v/>
      </c>
      <c r="Y5" s="7" t="str">
        <f t="shared" ref="Y5" si="2">IFERROR(W5*X5,"")</f>
        <v/>
      </c>
    </row>
    <row r="6" spans="1:25" ht="14.5" customHeight="1" x14ac:dyDescent="0.35">
      <c r="L6" s="2"/>
      <c r="M6" s="2"/>
      <c r="O6" s="2"/>
      <c r="W6" s="7" t="str">
        <f t="shared" ref="W6:W69" si="3">IF(COUNTA(E6:I6)=0,"", COUNTA(E6:I6))</f>
        <v/>
      </c>
      <c r="X6" s="31" t="str">
        <f t="shared" ref="X6:X69" si="4">IF(SUM(L6:M6)=0,"",SUM(L6:M6))</f>
        <v/>
      </c>
      <c r="Y6" s="7" t="str">
        <f t="shared" ref="Y6:Y69" si="5">IFERROR(W6*X6,"")</f>
        <v/>
      </c>
    </row>
    <row r="7" spans="1:25" ht="14.5" customHeight="1" x14ac:dyDescent="0.35">
      <c r="L7" s="2"/>
      <c r="M7" s="2"/>
      <c r="O7" s="2"/>
      <c r="W7" s="7" t="str">
        <f t="shared" si="3"/>
        <v/>
      </c>
      <c r="X7" s="31" t="str">
        <f t="shared" si="4"/>
        <v/>
      </c>
      <c r="Y7" s="7" t="str">
        <f t="shared" si="5"/>
        <v/>
      </c>
    </row>
    <row r="8" spans="1:25" ht="14.5" customHeight="1" x14ac:dyDescent="0.35">
      <c r="L8" s="2"/>
      <c r="M8" s="2"/>
      <c r="O8" s="2"/>
      <c r="W8" s="7" t="str">
        <f t="shared" si="3"/>
        <v/>
      </c>
      <c r="X8" s="31" t="str">
        <f t="shared" si="4"/>
        <v/>
      </c>
      <c r="Y8" s="7" t="str">
        <f t="shared" si="5"/>
        <v/>
      </c>
    </row>
    <row r="9" spans="1:25" x14ac:dyDescent="0.35">
      <c r="L9" s="2"/>
      <c r="M9" s="2"/>
      <c r="O9" s="2"/>
      <c r="W9" s="7" t="str">
        <f t="shared" si="3"/>
        <v/>
      </c>
      <c r="X9" s="31" t="str">
        <f t="shared" si="4"/>
        <v/>
      </c>
      <c r="Y9" s="7" t="str">
        <f t="shared" si="5"/>
        <v/>
      </c>
    </row>
    <row r="10" spans="1:25" ht="14.5" customHeight="1" x14ac:dyDescent="0.35">
      <c r="L10" s="2"/>
      <c r="M10" s="2"/>
      <c r="O10" s="2"/>
      <c r="W10" s="7" t="str">
        <f t="shared" si="3"/>
        <v/>
      </c>
      <c r="X10" s="31" t="str">
        <f t="shared" si="4"/>
        <v/>
      </c>
      <c r="Y10" s="7" t="str">
        <f t="shared" si="5"/>
        <v/>
      </c>
    </row>
    <row r="11" spans="1:25" ht="14.5" customHeight="1" x14ac:dyDescent="0.35">
      <c r="L11" s="2"/>
      <c r="M11" s="2"/>
      <c r="O11" s="2"/>
      <c r="W11" s="7" t="str">
        <f t="shared" si="3"/>
        <v/>
      </c>
      <c r="X11" s="31" t="str">
        <f t="shared" si="4"/>
        <v/>
      </c>
      <c r="Y11" s="7" t="str">
        <f t="shared" si="5"/>
        <v/>
      </c>
    </row>
    <row r="12" spans="1:25" ht="14.5" customHeight="1" x14ac:dyDescent="0.35">
      <c r="L12" s="2"/>
      <c r="M12" s="2"/>
      <c r="O12" s="2"/>
      <c r="W12" s="7" t="str">
        <f t="shared" si="3"/>
        <v/>
      </c>
      <c r="X12" s="31" t="str">
        <f t="shared" si="4"/>
        <v/>
      </c>
      <c r="Y12" s="7" t="str">
        <f t="shared" si="5"/>
        <v/>
      </c>
    </row>
    <row r="13" spans="1:25" ht="14.5" customHeight="1" x14ac:dyDescent="0.35">
      <c r="L13" s="2"/>
      <c r="M13" s="2"/>
      <c r="O13" s="2"/>
      <c r="W13" s="7" t="str">
        <f t="shared" si="3"/>
        <v/>
      </c>
      <c r="X13" s="31" t="str">
        <f t="shared" si="4"/>
        <v/>
      </c>
      <c r="Y13" s="7" t="str">
        <f t="shared" si="5"/>
        <v/>
      </c>
    </row>
    <row r="14" spans="1:25" x14ac:dyDescent="0.35">
      <c r="L14" s="2"/>
      <c r="M14" s="2"/>
      <c r="O14" s="2"/>
      <c r="W14" s="7" t="str">
        <f t="shared" si="3"/>
        <v/>
      </c>
      <c r="X14" s="31" t="str">
        <f t="shared" si="4"/>
        <v/>
      </c>
      <c r="Y14" s="7" t="str">
        <f t="shared" si="5"/>
        <v/>
      </c>
    </row>
    <row r="15" spans="1:25" ht="14.5" customHeight="1" x14ac:dyDescent="0.35">
      <c r="L15" s="2"/>
      <c r="M15" s="2"/>
      <c r="O15" s="2"/>
      <c r="W15" s="7" t="str">
        <f t="shared" si="3"/>
        <v/>
      </c>
      <c r="X15" s="31" t="str">
        <f t="shared" si="4"/>
        <v/>
      </c>
      <c r="Y15" s="7" t="str">
        <f t="shared" si="5"/>
        <v/>
      </c>
    </row>
    <row r="16" spans="1:25" ht="14.5" customHeight="1" x14ac:dyDescent="0.35">
      <c r="L16" s="2"/>
      <c r="M16" s="2"/>
      <c r="O16" s="2"/>
      <c r="W16" s="7" t="str">
        <f t="shared" si="3"/>
        <v/>
      </c>
      <c r="X16" s="31" t="str">
        <f t="shared" si="4"/>
        <v/>
      </c>
      <c r="Y16" s="7" t="str">
        <f t="shared" si="5"/>
        <v/>
      </c>
    </row>
    <row r="17" spans="12:25" ht="14.5" customHeight="1" x14ac:dyDescent="0.35">
      <c r="L17" s="2"/>
      <c r="M17" s="2"/>
      <c r="O17" s="2"/>
      <c r="W17" s="7" t="str">
        <f t="shared" si="3"/>
        <v/>
      </c>
      <c r="X17" s="31" t="str">
        <f t="shared" si="4"/>
        <v/>
      </c>
      <c r="Y17" s="7" t="str">
        <f t="shared" si="5"/>
        <v/>
      </c>
    </row>
    <row r="18" spans="12:25" ht="14.5" customHeight="1" x14ac:dyDescent="0.35">
      <c r="L18" s="2"/>
      <c r="M18" s="2"/>
      <c r="O18" s="2"/>
      <c r="W18" s="7" t="str">
        <f t="shared" si="3"/>
        <v/>
      </c>
      <c r="X18" s="31" t="str">
        <f t="shared" si="4"/>
        <v/>
      </c>
      <c r="Y18" s="7" t="str">
        <f t="shared" si="5"/>
        <v/>
      </c>
    </row>
    <row r="19" spans="12:25" ht="14.5" customHeight="1" x14ac:dyDescent="0.35">
      <c r="L19" s="2"/>
      <c r="M19" s="2"/>
      <c r="O19" s="2"/>
      <c r="W19" s="7" t="str">
        <f t="shared" si="3"/>
        <v/>
      </c>
      <c r="X19" s="31" t="str">
        <f t="shared" si="4"/>
        <v/>
      </c>
      <c r="Y19" s="7" t="str">
        <f t="shared" si="5"/>
        <v/>
      </c>
    </row>
    <row r="20" spans="12:25" ht="14.5" customHeight="1" x14ac:dyDescent="0.35">
      <c r="L20" s="2"/>
      <c r="M20" s="2"/>
      <c r="O20" s="2"/>
      <c r="W20" s="7" t="str">
        <f t="shared" si="3"/>
        <v/>
      </c>
      <c r="X20" s="31" t="str">
        <f t="shared" si="4"/>
        <v/>
      </c>
      <c r="Y20" s="7" t="str">
        <f t="shared" si="5"/>
        <v/>
      </c>
    </row>
    <row r="21" spans="12:25" ht="14.5" customHeight="1" x14ac:dyDescent="0.35">
      <c r="L21" s="2"/>
      <c r="M21" s="2"/>
      <c r="O21" s="2"/>
      <c r="W21" s="7" t="str">
        <f t="shared" si="3"/>
        <v/>
      </c>
      <c r="X21" s="31" t="str">
        <f t="shared" si="4"/>
        <v/>
      </c>
      <c r="Y21" s="7" t="str">
        <f t="shared" si="5"/>
        <v/>
      </c>
    </row>
    <row r="22" spans="12:25" ht="14.5" customHeight="1" x14ac:dyDescent="0.35">
      <c r="L22" s="2"/>
      <c r="M22" s="2"/>
      <c r="O22" s="2"/>
      <c r="W22" s="7" t="str">
        <f t="shared" si="3"/>
        <v/>
      </c>
      <c r="X22" s="31" t="str">
        <f t="shared" si="4"/>
        <v/>
      </c>
      <c r="Y22" s="7" t="str">
        <f t="shared" si="5"/>
        <v/>
      </c>
    </row>
    <row r="23" spans="12:25" ht="14.5" customHeight="1" x14ac:dyDescent="0.35">
      <c r="L23" s="2"/>
      <c r="M23" s="2"/>
      <c r="O23" s="2"/>
      <c r="W23" s="7" t="str">
        <f t="shared" si="3"/>
        <v/>
      </c>
      <c r="X23" s="31" t="str">
        <f t="shared" si="4"/>
        <v/>
      </c>
      <c r="Y23" s="7" t="str">
        <f t="shared" si="5"/>
        <v/>
      </c>
    </row>
    <row r="24" spans="12:25" ht="14.5" customHeight="1" x14ac:dyDescent="0.35">
      <c r="L24" s="2"/>
      <c r="M24" s="2"/>
      <c r="O24" s="2"/>
      <c r="W24" s="7" t="str">
        <f t="shared" si="3"/>
        <v/>
      </c>
      <c r="X24" s="31" t="str">
        <f>IF(SUM(L24:M24)=0,"",SUM(L24:M24))</f>
        <v/>
      </c>
      <c r="Y24" s="7" t="str">
        <f t="shared" si="5"/>
        <v/>
      </c>
    </row>
    <row r="25" spans="12:25" ht="14.5" customHeight="1" x14ac:dyDescent="0.35">
      <c r="L25" s="2"/>
      <c r="M25" s="2"/>
      <c r="O25" s="2"/>
      <c r="W25" s="7" t="str">
        <f t="shared" si="3"/>
        <v/>
      </c>
      <c r="X25" s="31" t="str">
        <f t="shared" si="4"/>
        <v/>
      </c>
      <c r="Y25" s="7" t="str">
        <f t="shared" si="5"/>
        <v/>
      </c>
    </row>
    <row r="26" spans="12:25" ht="14.5" customHeight="1" x14ac:dyDescent="0.35">
      <c r="L26" s="2"/>
      <c r="M26" s="2"/>
      <c r="O26" s="2"/>
      <c r="W26" s="7" t="str">
        <f t="shared" si="3"/>
        <v/>
      </c>
      <c r="X26" s="31" t="str">
        <f t="shared" si="4"/>
        <v/>
      </c>
      <c r="Y26" s="7" t="str">
        <f t="shared" si="5"/>
        <v/>
      </c>
    </row>
    <row r="27" spans="12:25" ht="14.5" customHeight="1" x14ac:dyDescent="0.35">
      <c r="L27" s="2"/>
      <c r="M27" s="2"/>
      <c r="O27" s="2"/>
      <c r="W27" s="7" t="str">
        <f t="shared" si="3"/>
        <v/>
      </c>
      <c r="X27" s="31" t="str">
        <f t="shared" si="4"/>
        <v/>
      </c>
      <c r="Y27" s="7" t="str">
        <f t="shared" si="5"/>
        <v/>
      </c>
    </row>
    <row r="28" spans="12:25" ht="14.5" customHeight="1" x14ac:dyDescent="0.35">
      <c r="L28" s="2"/>
      <c r="M28" s="2"/>
      <c r="O28" s="2"/>
      <c r="W28" s="7" t="str">
        <f t="shared" si="3"/>
        <v/>
      </c>
      <c r="X28" s="31" t="str">
        <f t="shared" si="4"/>
        <v/>
      </c>
      <c r="Y28" s="7" t="str">
        <f t="shared" si="5"/>
        <v/>
      </c>
    </row>
    <row r="29" spans="12:25" ht="14.5" customHeight="1" x14ac:dyDescent="0.35">
      <c r="L29" s="2"/>
      <c r="M29" s="2"/>
      <c r="O29" s="2"/>
      <c r="W29" s="7" t="str">
        <f t="shared" si="3"/>
        <v/>
      </c>
      <c r="X29" s="31" t="str">
        <f t="shared" si="4"/>
        <v/>
      </c>
      <c r="Y29" s="7" t="str">
        <f t="shared" si="5"/>
        <v/>
      </c>
    </row>
    <row r="30" spans="12:25" ht="14.5" customHeight="1" x14ac:dyDescent="0.35">
      <c r="L30" s="2"/>
      <c r="M30" s="2"/>
      <c r="O30" s="2"/>
      <c r="W30" s="7" t="str">
        <f t="shared" si="3"/>
        <v/>
      </c>
      <c r="X30" s="31" t="str">
        <f t="shared" si="4"/>
        <v/>
      </c>
      <c r="Y30" s="7" t="str">
        <f t="shared" si="5"/>
        <v/>
      </c>
    </row>
    <row r="31" spans="12:25" ht="14.5" customHeight="1" x14ac:dyDescent="0.35">
      <c r="L31" s="2"/>
      <c r="M31" s="2"/>
      <c r="O31" s="2"/>
      <c r="W31" s="7" t="str">
        <f t="shared" si="3"/>
        <v/>
      </c>
      <c r="X31" s="31" t="str">
        <f t="shared" si="4"/>
        <v/>
      </c>
      <c r="Y31" s="7" t="str">
        <f t="shared" si="5"/>
        <v/>
      </c>
    </row>
    <row r="32" spans="12:25" ht="14.5" customHeight="1" x14ac:dyDescent="0.35">
      <c r="L32" s="2"/>
      <c r="M32" s="2"/>
      <c r="O32" s="2"/>
      <c r="W32" s="7" t="str">
        <f t="shared" si="3"/>
        <v/>
      </c>
      <c r="X32" s="31" t="str">
        <f t="shared" si="4"/>
        <v/>
      </c>
      <c r="Y32" s="7" t="str">
        <f t="shared" si="5"/>
        <v/>
      </c>
    </row>
    <row r="33" spans="12:25" ht="14.5" customHeight="1" x14ac:dyDescent="0.35">
      <c r="L33" s="2"/>
      <c r="M33" s="2"/>
      <c r="O33" s="2"/>
      <c r="W33" s="7" t="str">
        <f t="shared" si="3"/>
        <v/>
      </c>
      <c r="X33" s="31" t="str">
        <f t="shared" si="4"/>
        <v/>
      </c>
      <c r="Y33" s="7" t="str">
        <f t="shared" si="5"/>
        <v/>
      </c>
    </row>
    <row r="34" spans="12:25" ht="14.5" customHeight="1" x14ac:dyDescent="0.35">
      <c r="L34" s="2"/>
      <c r="M34" s="2"/>
      <c r="O34" s="2"/>
      <c r="W34" s="7" t="str">
        <f t="shared" si="3"/>
        <v/>
      </c>
      <c r="X34" s="31" t="str">
        <f t="shared" si="4"/>
        <v/>
      </c>
      <c r="Y34" s="7" t="str">
        <f t="shared" si="5"/>
        <v/>
      </c>
    </row>
    <row r="35" spans="12:25" ht="14.5" customHeight="1" x14ac:dyDescent="0.35">
      <c r="L35" s="2"/>
      <c r="M35" s="2"/>
      <c r="O35" s="2"/>
      <c r="W35" s="7" t="str">
        <f t="shared" si="3"/>
        <v/>
      </c>
      <c r="X35" s="31" t="str">
        <f t="shared" si="4"/>
        <v/>
      </c>
      <c r="Y35" s="7" t="str">
        <f t="shared" si="5"/>
        <v/>
      </c>
    </row>
    <row r="36" spans="12:25" ht="14.5" customHeight="1" x14ac:dyDescent="0.35">
      <c r="L36" s="2"/>
      <c r="M36" s="2"/>
      <c r="O36" s="2"/>
      <c r="W36" s="7" t="str">
        <f t="shared" si="3"/>
        <v/>
      </c>
      <c r="X36" s="31" t="str">
        <f t="shared" si="4"/>
        <v/>
      </c>
      <c r="Y36" s="7" t="str">
        <f t="shared" si="5"/>
        <v/>
      </c>
    </row>
    <row r="37" spans="12:25" ht="14.5" customHeight="1" x14ac:dyDescent="0.35">
      <c r="L37" s="2"/>
      <c r="M37" s="2"/>
      <c r="O37" s="2"/>
      <c r="W37" s="7" t="str">
        <f t="shared" si="3"/>
        <v/>
      </c>
      <c r="X37" s="31" t="str">
        <f t="shared" si="4"/>
        <v/>
      </c>
      <c r="Y37" s="7" t="str">
        <f t="shared" si="5"/>
        <v/>
      </c>
    </row>
    <row r="38" spans="12:25" ht="14.5" customHeight="1" x14ac:dyDescent="0.35">
      <c r="L38" s="2"/>
      <c r="M38" s="2"/>
      <c r="O38" s="2"/>
      <c r="W38" s="7" t="str">
        <f t="shared" si="3"/>
        <v/>
      </c>
      <c r="X38" s="31" t="str">
        <f t="shared" si="4"/>
        <v/>
      </c>
      <c r="Y38" s="7" t="str">
        <f t="shared" si="5"/>
        <v/>
      </c>
    </row>
    <row r="39" spans="12:25" ht="14.5" customHeight="1" x14ac:dyDescent="0.35">
      <c r="L39" s="2"/>
      <c r="M39" s="2"/>
      <c r="O39" s="2"/>
      <c r="W39" s="7" t="str">
        <f t="shared" si="3"/>
        <v/>
      </c>
      <c r="X39" s="31" t="str">
        <f t="shared" si="4"/>
        <v/>
      </c>
      <c r="Y39" s="7" t="str">
        <f t="shared" si="5"/>
        <v/>
      </c>
    </row>
    <row r="40" spans="12:25" ht="14.5" customHeight="1" x14ac:dyDescent="0.35">
      <c r="L40" s="2"/>
      <c r="M40" s="2"/>
      <c r="O40" s="2"/>
      <c r="W40" s="7" t="str">
        <f t="shared" si="3"/>
        <v/>
      </c>
      <c r="X40" s="31" t="str">
        <f t="shared" si="4"/>
        <v/>
      </c>
      <c r="Y40" s="7" t="str">
        <f t="shared" si="5"/>
        <v/>
      </c>
    </row>
    <row r="41" spans="12:25" ht="14.5" customHeight="1" x14ac:dyDescent="0.35">
      <c r="L41" s="2"/>
      <c r="M41" s="2"/>
      <c r="O41" s="2"/>
      <c r="W41" s="7" t="str">
        <f t="shared" si="3"/>
        <v/>
      </c>
      <c r="X41" s="31" t="str">
        <f t="shared" si="4"/>
        <v/>
      </c>
      <c r="Y41" s="7" t="str">
        <f t="shared" si="5"/>
        <v/>
      </c>
    </row>
    <row r="42" spans="12:25" ht="14.5" customHeight="1" x14ac:dyDescent="0.35">
      <c r="L42" s="2"/>
      <c r="M42" s="2"/>
      <c r="O42" s="2"/>
      <c r="W42" s="7" t="str">
        <f t="shared" si="3"/>
        <v/>
      </c>
      <c r="X42" s="31" t="str">
        <f t="shared" si="4"/>
        <v/>
      </c>
      <c r="Y42" s="7" t="str">
        <f t="shared" si="5"/>
        <v/>
      </c>
    </row>
    <row r="43" spans="12:25" ht="14.5" customHeight="1" x14ac:dyDescent="0.35">
      <c r="L43" s="2"/>
      <c r="M43" s="2"/>
      <c r="O43" s="2"/>
      <c r="W43" s="7" t="str">
        <f t="shared" si="3"/>
        <v/>
      </c>
      <c r="X43" s="31" t="str">
        <f t="shared" si="4"/>
        <v/>
      </c>
      <c r="Y43" s="7" t="str">
        <f t="shared" si="5"/>
        <v/>
      </c>
    </row>
    <row r="44" spans="12:25" ht="14.5" customHeight="1" x14ac:dyDescent="0.35">
      <c r="L44" s="2"/>
      <c r="M44" s="2"/>
      <c r="O44" s="2"/>
      <c r="W44" s="7" t="str">
        <f t="shared" si="3"/>
        <v/>
      </c>
      <c r="X44" s="31" t="str">
        <f t="shared" si="4"/>
        <v/>
      </c>
      <c r="Y44" s="7" t="str">
        <f t="shared" si="5"/>
        <v/>
      </c>
    </row>
    <row r="45" spans="12:25" ht="14.5" customHeight="1" x14ac:dyDescent="0.35">
      <c r="L45" s="2"/>
      <c r="M45" s="2"/>
      <c r="O45" s="2"/>
      <c r="W45" s="7" t="str">
        <f t="shared" si="3"/>
        <v/>
      </c>
      <c r="X45" s="31" t="str">
        <f t="shared" si="4"/>
        <v/>
      </c>
      <c r="Y45" s="7" t="str">
        <f t="shared" si="5"/>
        <v/>
      </c>
    </row>
    <row r="46" spans="12:25" ht="14.5" customHeight="1" x14ac:dyDescent="0.35">
      <c r="L46" s="2"/>
      <c r="M46" s="2"/>
      <c r="O46" s="2"/>
      <c r="W46" s="7" t="str">
        <f t="shared" si="3"/>
        <v/>
      </c>
      <c r="X46" s="31" t="str">
        <f t="shared" si="4"/>
        <v/>
      </c>
      <c r="Y46" s="7" t="str">
        <f t="shared" si="5"/>
        <v/>
      </c>
    </row>
    <row r="47" spans="12:25" ht="14.5" customHeight="1" x14ac:dyDescent="0.35">
      <c r="L47" s="2"/>
      <c r="M47" s="2"/>
      <c r="O47" s="2"/>
      <c r="W47" s="7" t="str">
        <f t="shared" si="3"/>
        <v/>
      </c>
      <c r="X47" s="31" t="str">
        <f t="shared" si="4"/>
        <v/>
      </c>
      <c r="Y47" s="7" t="str">
        <f t="shared" si="5"/>
        <v/>
      </c>
    </row>
    <row r="48" spans="12:25" ht="14.5" customHeight="1" x14ac:dyDescent="0.35">
      <c r="L48" s="2"/>
      <c r="M48" s="2"/>
      <c r="O48" s="2"/>
      <c r="W48" s="7" t="str">
        <f t="shared" si="3"/>
        <v/>
      </c>
      <c r="X48" s="31" t="str">
        <f t="shared" si="4"/>
        <v/>
      </c>
      <c r="Y48" s="7" t="str">
        <f t="shared" si="5"/>
        <v/>
      </c>
    </row>
    <row r="49" spans="12:25" ht="14.5" customHeight="1" x14ac:dyDescent="0.35">
      <c r="L49" s="2"/>
      <c r="M49" s="2"/>
      <c r="O49" s="2"/>
      <c r="W49" s="7" t="str">
        <f t="shared" si="3"/>
        <v/>
      </c>
      <c r="X49" s="31" t="str">
        <f t="shared" si="4"/>
        <v/>
      </c>
      <c r="Y49" s="7" t="str">
        <f t="shared" si="5"/>
        <v/>
      </c>
    </row>
    <row r="50" spans="12:25" ht="14.5" customHeight="1" x14ac:dyDescent="0.35">
      <c r="L50" s="2"/>
      <c r="M50" s="2"/>
      <c r="O50" s="2"/>
      <c r="W50" s="7" t="str">
        <f t="shared" si="3"/>
        <v/>
      </c>
      <c r="X50" s="31" t="str">
        <f t="shared" si="4"/>
        <v/>
      </c>
      <c r="Y50" s="7" t="str">
        <f t="shared" si="5"/>
        <v/>
      </c>
    </row>
    <row r="51" spans="12:25" ht="14.5" customHeight="1" x14ac:dyDescent="0.35">
      <c r="L51" s="2"/>
      <c r="M51" s="2"/>
      <c r="O51" s="2"/>
      <c r="W51" s="7" t="str">
        <f t="shared" si="3"/>
        <v/>
      </c>
      <c r="X51" s="31" t="str">
        <f t="shared" si="4"/>
        <v/>
      </c>
      <c r="Y51" s="7" t="str">
        <f t="shared" si="5"/>
        <v/>
      </c>
    </row>
    <row r="52" spans="12:25" ht="14.5" customHeight="1" x14ac:dyDescent="0.35">
      <c r="L52" s="2"/>
      <c r="M52" s="2"/>
      <c r="O52" s="2"/>
      <c r="W52" s="7" t="str">
        <f t="shared" si="3"/>
        <v/>
      </c>
      <c r="X52" s="31" t="str">
        <f t="shared" si="4"/>
        <v/>
      </c>
      <c r="Y52" s="7" t="str">
        <f t="shared" si="5"/>
        <v/>
      </c>
    </row>
    <row r="53" spans="12:25" ht="14.5" customHeight="1" x14ac:dyDescent="0.35">
      <c r="L53" s="2"/>
      <c r="M53" s="2"/>
      <c r="O53" s="2"/>
      <c r="W53" s="7" t="str">
        <f t="shared" si="3"/>
        <v/>
      </c>
      <c r="X53" s="31" t="str">
        <f t="shared" si="4"/>
        <v/>
      </c>
      <c r="Y53" s="7" t="str">
        <f t="shared" si="5"/>
        <v/>
      </c>
    </row>
    <row r="54" spans="12:25" ht="14.5" customHeight="1" x14ac:dyDescent="0.35">
      <c r="L54" s="2"/>
      <c r="M54" s="2"/>
      <c r="O54" s="2"/>
      <c r="W54" s="7" t="str">
        <f t="shared" si="3"/>
        <v/>
      </c>
      <c r="X54" s="31" t="str">
        <f t="shared" si="4"/>
        <v/>
      </c>
      <c r="Y54" s="7" t="str">
        <f t="shared" si="5"/>
        <v/>
      </c>
    </row>
    <row r="55" spans="12:25" ht="14.5" customHeight="1" x14ac:dyDescent="0.35">
      <c r="L55" s="2"/>
      <c r="M55" s="2"/>
      <c r="O55" s="2"/>
      <c r="W55" s="7" t="str">
        <f t="shared" si="3"/>
        <v/>
      </c>
      <c r="X55" s="31" t="str">
        <f t="shared" si="4"/>
        <v/>
      </c>
      <c r="Y55" s="7" t="str">
        <f t="shared" si="5"/>
        <v/>
      </c>
    </row>
    <row r="56" spans="12:25" ht="14.5" customHeight="1" x14ac:dyDescent="0.35">
      <c r="L56" s="2"/>
      <c r="M56" s="2"/>
      <c r="O56" s="2"/>
      <c r="W56" s="7" t="str">
        <f t="shared" si="3"/>
        <v/>
      </c>
      <c r="X56" s="31" t="str">
        <f t="shared" si="4"/>
        <v/>
      </c>
      <c r="Y56" s="7" t="str">
        <f t="shared" si="5"/>
        <v/>
      </c>
    </row>
    <row r="57" spans="12:25" ht="14.5" customHeight="1" x14ac:dyDescent="0.35">
      <c r="L57" s="2"/>
      <c r="M57" s="2"/>
      <c r="O57" s="2"/>
      <c r="W57" s="7" t="str">
        <f t="shared" si="3"/>
        <v/>
      </c>
      <c r="X57" s="31" t="str">
        <f t="shared" si="4"/>
        <v/>
      </c>
      <c r="Y57" s="7" t="str">
        <f t="shared" si="5"/>
        <v/>
      </c>
    </row>
    <row r="58" spans="12:25" ht="14.5" customHeight="1" x14ac:dyDescent="0.35">
      <c r="L58" s="2"/>
      <c r="M58" s="2"/>
      <c r="O58" s="2"/>
      <c r="W58" s="7" t="str">
        <f t="shared" si="3"/>
        <v/>
      </c>
      <c r="X58" s="31" t="str">
        <f t="shared" si="4"/>
        <v/>
      </c>
      <c r="Y58" s="7" t="str">
        <f t="shared" si="5"/>
        <v/>
      </c>
    </row>
    <row r="59" spans="12:25" ht="14.5" customHeight="1" x14ac:dyDescent="0.35">
      <c r="L59" s="2"/>
      <c r="M59" s="2"/>
      <c r="O59" s="2"/>
      <c r="W59" s="7" t="str">
        <f t="shared" si="3"/>
        <v/>
      </c>
      <c r="X59" s="31" t="str">
        <f t="shared" si="4"/>
        <v/>
      </c>
      <c r="Y59" s="7" t="str">
        <f t="shared" si="5"/>
        <v/>
      </c>
    </row>
    <row r="60" spans="12:25" ht="14.5" customHeight="1" x14ac:dyDescent="0.35">
      <c r="L60" s="2"/>
      <c r="M60" s="2"/>
      <c r="O60" s="2"/>
      <c r="W60" s="7" t="str">
        <f t="shared" si="3"/>
        <v/>
      </c>
      <c r="X60" s="31" t="str">
        <f t="shared" si="4"/>
        <v/>
      </c>
      <c r="Y60" s="7" t="str">
        <f t="shared" si="5"/>
        <v/>
      </c>
    </row>
    <row r="61" spans="12:25" ht="14.5" customHeight="1" x14ac:dyDescent="0.35">
      <c r="L61" s="2"/>
      <c r="M61" s="2"/>
      <c r="O61" s="2"/>
      <c r="W61" s="7" t="str">
        <f t="shared" si="3"/>
        <v/>
      </c>
      <c r="X61" s="31" t="str">
        <f t="shared" si="4"/>
        <v/>
      </c>
      <c r="Y61" s="7" t="str">
        <f t="shared" si="5"/>
        <v/>
      </c>
    </row>
    <row r="62" spans="12:25" ht="14.5" customHeight="1" x14ac:dyDescent="0.35">
      <c r="L62" s="2"/>
      <c r="M62" s="2"/>
      <c r="O62" s="2"/>
      <c r="W62" s="7" t="str">
        <f t="shared" si="3"/>
        <v/>
      </c>
      <c r="X62" s="31" t="str">
        <f t="shared" si="4"/>
        <v/>
      </c>
      <c r="Y62" s="7" t="str">
        <f t="shared" si="5"/>
        <v/>
      </c>
    </row>
    <row r="63" spans="12:25" ht="14.5" customHeight="1" x14ac:dyDescent="0.35">
      <c r="L63" s="2"/>
      <c r="M63" s="2"/>
      <c r="O63" s="2"/>
      <c r="W63" s="7" t="str">
        <f t="shared" si="3"/>
        <v/>
      </c>
      <c r="X63" s="31" t="str">
        <f t="shared" si="4"/>
        <v/>
      </c>
      <c r="Y63" s="7" t="str">
        <f t="shared" si="5"/>
        <v/>
      </c>
    </row>
    <row r="64" spans="12:25" ht="14.5" customHeight="1" x14ac:dyDescent="0.35">
      <c r="L64" s="2"/>
      <c r="M64" s="2"/>
      <c r="O64" s="2"/>
      <c r="W64" s="7" t="str">
        <f t="shared" si="3"/>
        <v/>
      </c>
      <c r="X64" s="31" t="str">
        <f t="shared" si="4"/>
        <v/>
      </c>
      <c r="Y64" s="7" t="str">
        <f t="shared" si="5"/>
        <v/>
      </c>
    </row>
    <row r="65" spans="12:25" ht="14.5" customHeight="1" x14ac:dyDescent="0.35">
      <c r="L65" s="2"/>
      <c r="M65" s="2"/>
      <c r="O65" s="2"/>
      <c r="W65" s="7" t="str">
        <f t="shared" si="3"/>
        <v/>
      </c>
      <c r="X65" s="31" t="str">
        <f t="shared" si="4"/>
        <v/>
      </c>
      <c r="Y65" s="7" t="str">
        <f t="shared" si="5"/>
        <v/>
      </c>
    </row>
    <row r="66" spans="12:25" ht="14.5" customHeight="1" x14ac:dyDescent="0.35">
      <c r="L66" s="2"/>
      <c r="M66" s="2"/>
      <c r="O66" s="2"/>
      <c r="W66" s="7" t="str">
        <f t="shared" si="3"/>
        <v/>
      </c>
      <c r="X66" s="31" t="str">
        <f t="shared" si="4"/>
        <v/>
      </c>
      <c r="Y66" s="7" t="str">
        <f t="shared" si="5"/>
        <v/>
      </c>
    </row>
    <row r="67" spans="12:25" ht="14.5" customHeight="1" x14ac:dyDescent="0.35">
      <c r="L67" s="2"/>
      <c r="M67" s="2"/>
      <c r="O67" s="2"/>
      <c r="W67" s="7" t="str">
        <f t="shared" si="3"/>
        <v/>
      </c>
      <c r="X67" s="31" t="str">
        <f t="shared" si="4"/>
        <v/>
      </c>
      <c r="Y67" s="7" t="str">
        <f t="shared" si="5"/>
        <v/>
      </c>
    </row>
    <row r="68" spans="12:25" ht="14.5" customHeight="1" x14ac:dyDescent="0.35">
      <c r="L68" s="2"/>
      <c r="M68" s="2"/>
      <c r="O68" s="2"/>
      <c r="W68" s="7" t="str">
        <f t="shared" si="3"/>
        <v/>
      </c>
      <c r="X68" s="31" t="str">
        <f t="shared" si="4"/>
        <v/>
      </c>
      <c r="Y68" s="7" t="str">
        <f t="shared" si="5"/>
        <v/>
      </c>
    </row>
    <row r="69" spans="12:25" ht="14.5" customHeight="1" x14ac:dyDescent="0.35">
      <c r="L69" s="2"/>
      <c r="M69" s="2"/>
      <c r="O69" s="2"/>
      <c r="W69" s="7" t="str">
        <f t="shared" si="3"/>
        <v/>
      </c>
      <c r="X69" s="31" t="str">
        <f t="shared" si="4"/>
        <v/>
      </c>
      <c r="Y69" s="7" t="str">
        <f t="shared" si="5"/>
        <v/>
      </c>
    </row>
    <row r="70" spans="12:25" ht="14.5" customHeight="1" x14ac:dyDescent="0.35">
      <c r="L70" s="2"/>
      <c r="M70" s="2"/>
      <c r="O70" s="2"/>
      <c r="W70" s="7" t="str">
        <f t="shared" ref="W70:W133" si="6">IF(COUNTA(E70:I70)=0,"", COUNTA(E70:I70))</f>
        <v/>
      </c>
      <c r="X70" s="31" t="str">
        <f t="shared" ref="X70:X133" si="7">IF(SUM(L70:M70)=0,"",SUM(L70:M70))</f>
        <v/>
      </c>
      <c r="Y70" s="7" t="str">
        <f t="shared" ref="Y70:Y133" si="8">IFERROR(W70*X70,"")</f>
        <v/>
      </c>
    </row>
    <row r="71" spans="12:25" ht="14.5" customHeight="1" x14ac:dyDescent="0.35">
      <c r="L71" s="2"/>
      <c r="M71" s="2"/>
      <c r="O71" s="2"/>
      <c r="W71" s="7" t="str">
        <f t="shared" si="6"/>
        <v/>
      </c>
      <c r="X71" s="31" t="str">
        <f t="shared" si="7"/>
        <v/>
      </c>
      <c r="Y71" s="7" t="str">
        <f t="shared" si="8"/>
        <v/>
      </c>
    </row>
    <row r="72" spans="12:25" ht="14.5" customHeight="1" x14ac:dyDescent="0.35">
      <c r="L72" s="2"/>
      <c r="M72" s="2"/>
      <c r="O72" s="2"/>
      <c r="W72" s="7" t="str">
        <f t="shared" si="6"/>
        <v/>
      </c>
      <c r="X72" s="31" t="str">
        <f t="shared" si="7"/>
        <v/>
      </c>
      <c r="Y72" s="7" t="str">
        <f t="shared" si="8"/>
        <v/>
      </c>
    </row>
    <row r="73" spans="12:25" ht="14.5" customHeight="1" x14ac:dyDescent="0.35">
      <c r="L73" s="2"/>
      <c r="M73" s="2"/>
      <c r="O73" s="2"/>
      <c r="W73" s="7" t="str">
        <f t="shared" si="6"/>
        <v/>
      </c>
      <c r="X73" s="31" t="str">
        <f t="shared" si="7"/>
        <v/>
      </c>
      <c r="Y73" s="7" t="str">
        <f t="shared" si="8"/>
        <v/>
      </c>
    </row>
    <row r="74" spans="12:25" ht="14.5" customHeight="1" x14ac:dyDescent="0.35">
      <c r="L74" s="2"/>
      <c r="M74" s="2"/>
      <c r="O74" s="2"/>
      <c r="W74" s="7" t="str">
        <f t="shared" si="6"/>
        <v/>
      </c>
      <c r="X74" s="31" t="str">
        <f t="shared" si="7"/>
        <v/>
      </c>
      <c r="Y74" s="7" t="str">
        <f t="shared" si="8"/>
        <v/>
      </c>
    </row>
    <row r="75" spans="12:25" ht="14.5" customHeight="1" x14ac:dyDescent="0.35">
      <c r="L75" s="2"/>
      <c r="M75" s="2"/>
      <c r="O75" s="2"/>
      <c r="W75" s="7" t="str">
        <f t="shared" si="6"/>
        <v/>
      </c>
      <c r="X75" s="31" t="str">
        <f t="shared" si="7"/>
        <v/>
      </c>
      <c r="Y75" s="7" t="str">
        <f t="shared" si="8"/>
        <v/>
      </c>
    </row>
    <row r="76" spans="12:25" ht="14.5" customHeight="1" x14ac:dyDescent="0.35">
      <c r="L76" s="2"/>
      <c r="M76" s="2"/>
      <c r="O76" s="2"/>
      <c r="W76" s="7" t="str">
        <f t="shared" si="6"/>
        <v/>
      </c>
      <c r="X76" s="31" t="str">
        <f t="shared" si="7"/>
        <v/>
      </c>
      <c r="Y76" s="7" t="str">
        <f t="shared" si="8"/>
        <v/>
      </c>
    </row>
    <row r="77" spans="12:25" ht="14.5" customHeight="1" x14ac:dyDescent="0.35">
      <c r="L77" s="2"/>
      <c r="M77" s="2"/>
      <c r="O77" s="2"/>
      <c r="W77" s="7" t="str">
        <f t="shared" si="6"/>
        <v/>
      </c>
      <c r="X77" s="31" t="str">
        <f t="shared" si="7"/>
        <v/>
      </c>
      <c r="Y77" s="7" t="str">
        <f t="shared" si="8"/>
        <v/>
      </c>
    </row>
    <row r="78" spans="12:25" ht="14.5" customHeight="1" x14ac:dyDescent="0.35">
      <c r="L78" s="2"/>
      <c r="M78" s="2"/>
      <c r="O78" s="2"/>
      <c r="W78" s="7" t="str">
        <f t="shared" si="6"/>
        <v/>
      </c>
      <c r="X78" s="31" t="str">
        <f t="shared" si="7"/>
        <v/>
      </c>
      <c r="Y78" s="7" t="str">
        <f t="shared" si="8"/>
        <v/>
      </c>
    </row>
    <row r="79" spans="12:25" ht="14.5" customHeight="1" x14ac:dyDescent="0.35">
      <c r="L79" s="2"/>
      <c r="M79" s="2"/>
      <c r="O79" s="2"/>
      <c r="W79" s="7" t="str">
        <f t="shared" si="6"/>
        <v/>
      </c>
      <c r="X79" s="31" t="str">
        <f t="shared" si="7"/>
        <v/>
      </c>
      <c r="Y79" s="7" t="str">
        <f t="shared" si="8"/>
        <v/>
      </c>
    </row>
    <row r="80" spans="12:25" ht="14.5" customHeight="1" x14ac:dyDescent="0.35">
      <c r="L80" s="2"/>
      <c r="M80" s="2"/>
      <c r="O80" s="2"/>
      <c r="W80" s="7" t="str">
        <f t="shared" si="6"/>
        <v/>
      </c>
      <c r="X80" s="31" t="str">
        <f t="shared" si="7"/>
        <v/>
      </c>
      <c r="Y80" s="7" t="str">
        <f t="shared" si="8"/>
        <v/>
      </c>
    </row>
    <row r="81" spans="12:25" ht="14.5" customHeight="1" x14ac:dyDescent="0.35">
      <c r="L81" s="2"/>
      <c r="M81" s="2"/>
      <c r="O81" s="2"/>
      <c r="W81" s="7" t="str">
        <f t="shared" si="6"/>
        <v/>
      </c>
      <c r="X81" s="31" t="str">
        <f t="shared" si="7"/>
        <v/>
      </c>
      <c r="Y81" s="7" t="str">
        <f t="shared" si="8"/>
        <v/>
      </c>
    </row>
    <row r="82" spans="12:25" ht="14.5" customHeight="1" x14ac:dyDescent="0.35">
      <c r="L82" s="2"/>
      <c r="M82" s="2"/>
      <c r="O82" s="2"/>
      <c r="W82" s="7" t="str">
        <f t="shared" si="6"/>
        <v/>
      </c>
      <c r="X82" s="31" t="str">
        <f t="shared" si="7"/>
        <v/>
      </c>
      <c r="Y82" s="7" t="str">
        <f t="shared" si="8"/>
        <v/>
      </c>
    </row>
    <row r="83" spans="12:25" ht="14.5" customHeight="1" x14ac:dyDescent="0.35">
      <c r="L83" s="2"/>
      <c r="M83" s="2"/>
      <c r="O83" s="2"/>
      <c r="W83" s="7" t="str">
        <f t="shared" si="6"/>
        <v/>
      </c>
      <c r="X83" s="31" t="str">
        <f t="shared" si="7"/>
        <v/>
      </c>
      <c r="Y83" s="7" t="str">
        <f t="shared" si="8"/>
        <v/>
      </c>
    </row>
    <row r="84" spans="12:25" ht="14.5" customHeight="1" x14ac:dyDescent="0.35">
      <c r="L84" s="2"/>
      <c r="M84" s="2"/>
      <c r="O84" s="2"/>
      <c r="W84" s="7" t="str">
        <f t="shared" si="6"/>
        <v/>
      </c>
      <c r="X84" s="31" t="str">
        <f t="shared" si="7"/>
        <v/>
      </c>
      <c r="Y84" s="7" t="str">
        <f t="shared" si="8"/>
        <v/>
      </c>
    </row>
    <row r="85" spans="12:25" ht="14.5" customHeight="1" x14ac:dyDescent="0.35">
      <c r="L85" s="2"/>
      <c r="M85" s="2"/>
      <c r="O85" s="2"/>
      <c r="W85" s="7" t="str">
        <f t="shared" si="6"/>
        <v/>
      </c>
      <c r="X85" s="31" t="str">
        <f t="shared" si="7"/>
        <v/>
      </c>
      <c r="Y85" s="7" t="str">
        <f t="shared" si="8"/>
        <v/>
      </c>
    </row>
    <row r="86" spans="12:25" ht="14.5" customHeight="1" x14ac:dyDescent="0.35">
      <c r="L86" s="2"/>
      <c r="M86" s="2"/>
      <c r="O86" s="2"/>
      <c r="W86" s="7" t="str">
        <f t="shared" si="6"/>
        <v/>
      </c>
      <c r="X86" s="31" t="str">
        <f t="shared" si="7"/>
        <v/>
      </c>
      <c r="Y86" s="7" t="str">
        <f t="shared" si="8"/>
        <v/>
      </c>
    </row>
    <row r="87" spans="12:25" ht="14.5" customHeight="1" x14ac:dyDescent="0.35">
      <c r="L87" s="2"/>
      <c r="M87" s="2"/>
      <c r="O87" s="2"/>
      <c r="W87" s="7" t="str">
        <f t="shared" si="6"/>
        <v/>
      </c>
      <c r="X87" s="31" t="str">
        <f t="shared" si="7"/>
        <v/>
      </c>
      <c r="Y87" s="7" t="str">
        <f t="shared" si="8"/>
        <v/>
      </c>
    </row>
    <row r="88" spans="12:25" ht="14.5" customHeight="1" x14ac:dyDescent="0.35">
      <c r="L88" s="2"/>
      <c r="M88" s="2"/>
      <c r="O88" s="2"/>
      <c r="W88" s="7" t="str">
        <f t="shared" si="6"/>
        <v/>
      </c>
      <c r="X88" s="31" t="str">
        <f t="shared" si="7"/>
        <v/>
      </c>
      <c r="Y88" s="7" t="str">
        <f t="shared" si="8"/>
        <v/>
      </c>
    </row>
    <row r="89" spans="12:25" ht="14.5" customHeight="1" x14ac:dyDescent="0.35">
      <c r="L89" s="2"/>
      <c r="M89" s="2"/>
      <c r="O89" s="2"/>
      <c r="W89" s="7" t="str">
        <f t="shared" si="6"/>
        <v/>
      </c>
      <c r="X89" s="31" t="str">
        <f t="shared" si="7"/>
        <v/>
      </c>
      <c r="Y89" s="7" t="str">
        <f t="shared" si="8"/>
        <v/>
      </c>
    </row>
    <row r="90" spans="12:25" ht="14.5" customHeight="1" x14ac:dyDescent="0.35">
      <c r="L90" s="2"/>
      <c r="M90" s="2"/>
      <c r="O90" s="2"/>
      <c r="W90" s="7" t="str">
        <f t="shared" si="6"/>
        <v/>
      </c>
      <c r="X90" s="31" t="str">
        <f t="shared" si="7"/>
        <v/>
      </c>
      <c r="Y90" s="7" t="str">
        <f t="shared" si="8"/>
        <v/>
      </c>
    </row>
    <row r="91" spans="12:25" ht="14.5" customHeight="1" x14ac:dyDescent="0.35">
      <c r="L91" s="2"/>
      <c r="M91" s="2"/>
      <c r="O91" s="2"/>
      <c r="W91" s="7" t="str">
        <f t="shared" si="6"/>
        <v/>
      </c>
      <c r="X91" s="31" t="str">
        <f t="shared" si="7"/>
        <v/>
      </c>
      <c r="Y91" s="7" t="str">
        <f t="shared" si="8"/>
        <v/>
      </c>
    </row>
    <row r="92" spans="12:25" ht="14.5" customHeight="1" x14ac:dyDescent="0.35">
      <c r="L92" s="2"/>
      <c r="M92" s="2"/>
      <c r="O92" s="2"/>
      <c r="W92" s="7" t="str">
        <f t="shared" si="6"/>
        <v/>
      </c>
      <c r="X92" s="31" t="str">
        <f t="shared" si="7"/>
        <v/>
      </c>
      <c r="Y92" s="7" t="str">
        <f t="shared" si="8"/>
        <v/>
      </c>
    </row>
    <row r="93" spans="12:25" ht="14.5" customHeight="1" x14ac:dyDescent="0.35">
      <c r="L93" s="2"/>
      <c r="M93" s="2"/>
      <c r="O93" s="2"/>
      <c r="W93" s="7" t="str">
        <f t="shared" si="6"/>
        <v/>
      </c>
      <c r="X93" s="31" t="str">
        <f t="shared" si="7"/>
        <v/>
      </c>
      <c r="Y93" s="7" t="str">
        <f t="shared" si="8"/>
        <v/>
      </c>
    </row>
    <row r="94" spans="12:25" ht="14.5" customHeight="1" x14ac:dyDescent="0.35">
      <c r="L94" s="2"/>
      <c r="M94" s="2"/>
      <c r="O94" s="2"/>
      <c r="W94" s="7" t="str">
        <f t="shared" si="6"/>
        <v/>
      </c>
      <c r="X94" s="31" t="str">
        <f t="shared" si="7"/>
        <v/>
      </c>
      <c r="Y94" s="7" t="str">
        <f t="shared" si="8"/>
        <v/>
      </c>
    </row>
    <row r="95" spans="12:25" ht="14.5" customHeight="1" x14ac:dyDescent="0.35">
      <c r="L95" s="2"/>
      <c r="M95" s="2"/>
      <c r="O95" s="2"/>
      <c r="W95" s="7" t="str">
        <f t="shared" si="6"/>
        <v/>
      </c>
      <c r="X95" s="31" t="str">
        <f t="shared" si="7"/>
        <v/>
      </c>
      <c r="Y95" s="7" t="str">
        <f t="shared" si="8"/>
        <v/>
      </c>
    </row>
    <row r="96" spans="12:25" ht="14.5" customHeight="1" x14ac:dyDescent="0.35">
      <c r="L96" s="2"/>
      <c r="M96" s="2"/>
      <c r="O96" s="2"/>
      <c r="W96" s="7" t="str">
        <f t="shared" si="6"/>
        <v/>
      </c>
      <c r="X96" s="31" t="str">
        <f t="shared" si="7"/>
        <v/>
      </c>
      <c r="Y96" s="7" t="str">
        <f t="shared" si="8"/>
        <v/>
      </c>
    </row>
    <row r="97" spans="12:25" ht="14.5" customHeight="1" x14ac:dyDescent="0.35">
      <c r="L97" s="2"/>
      <c r="M97" s="2"/>
      <c r="O97" s="2"/>
      <c r="W97" s="7" t="str">
        <f t="shared" si="6"/>
        <v/>
      </c>
      <c r="X97" s="31" t="str">
        <f t="shared" si="7"/>
        <v/>
      </c>
      <c r="Y97" s="7" t="str">
        <f t="shared" si="8"/>
        <v/>
      </c>
    </row>
    <row r="98" spans="12:25" ht="14.5" customHeight="1" x14ac:dyDescent="0.35">
      <c r="L98" s="2"/>
      <c r="M98" s="2"/>
      <c r="O98" s="2"/>
      <c r="W98" s="7" t="str">
        <f t="shared" si="6"/>
        <v/>
      </c>
      <c r="X98" s="31" t="str">
        <f t="shared" si="7"/>
        <v/>
      </c>
      <c r="Y98" s="7" t="str">
        <f t="shared" si="8"/>
        <v/>
      </c>
    </row>
    <row r="99" spans="12:25" ht="14.5" customHeight="1" x14ac:dyDescent="0.35">
      <c r="L99" s="2"/>
      <c r="M99" s="2"/>
      <c r="O99" s="2"/>
      <c r="W99" s="7" t="str">
        <f t="shared" si="6"/>
        <v/>
      </c>
      <c r="X99" s="31" t="str">
        <f t="shared" si="7"/>
        <v/>
      </c>
      <c r="Y99" s="7" t="str">
        <f t="shared" si="8"/>
        <v/>
      </c>
    </row>
    <row r="100" spans="12:25" ht="14.5" customHeight="1" x14ac:dyDescent="0.35">
      <c r="L100" s="2"/>
      <c r="M100" s="2"/>
      <c r="O100" s="2"/>
      <c r="W100" s="7" t="str">
        <f t="shared" si="6"/>
        <v/>
      </c>
      <c r="X100" s="31" t="str">
        <f t="shared" si="7"/>
        <v/>
      </c>
      <c r="Y100" s="7" t="str">
        <f t="shared" si="8"/>
        <v/>
      </c>
    </row>
    <row r="101" spans="12:25" ht="14.5" customHeight="1" x14ac:dyDescent="0.35">
      <c r="L101" s="2"/>
      <c r="M101" s="2"/>
      <c r="O101" s="2"/>
      <c r="W101" s="7" t="str">
        <f t="shared" si="6"/>
        <v/>
      </c>
      <c r="X101" s="31" t="str">
        <f t="shared" si="7"/>
        <v/>
      </c>
      <c r="Y101" s="7" t="str">
        <f t="shared" si="8"/>
        <v/>
      </c>
    </row>
    <row r="102" spans="12:25" ht="14.5" customHeight="1" x14ac:dyDescent="0.35">
      <c r="L102" s="2"/>
      <c r="M102" s="2"/>
      <c r="O102" s="2"/>
      <c r="W102" s="7" t="str">
        <f t="shared" si="6"/>
        <v/>
      </c>
      <c r="X102" s="31" t="str">
        <f t="shared" si="7"/>
        <v/>
      </c>
      <c r="Y102" s="7" t="str">
        <f t="shared" si="8"/>
        <v/>
      </c>
    </row>
    <row r="103" spans="12:25" ht="14.5" customHeight="1" x14ac:dyDescent="0.35">
      <c r="L103" s="2"/>
      <c r="M103" s="2"/>
      <c r="O103" s="2"/>
      <c r="W103" s="7" t="str">
        <f t="shared" si="6"/>
        <v/>
      </c>
      <c r="X103" s="31" t="str">
        <f t="shared" si="7"/>
        <v/>
      </c>
      <c r="Y103" s="7" t="str">
        <f t="shared" si="8"/>
        <v/>
      </c>
    </row>
    <row r="104" spans="12:25" ht="14.5" customHeight="1" x14ac:dyDescent="0.35">
      <c r="L104" s="2"/>
      <c r="M104" s="2"/>
      <c r="O104" s="2"/>
      <c r="W104" s="7" t="str">
        <f t="shared" si="6"/>
        <v/>
      </c>
      <c r="X104" s="31" t="str">
        <f t="shared" si="7"/>
        <v/>
      </c>
      <c r="Y104" s="7" t="str">
        <f t="shared" si="8"/>
        <v/>
      </c>
    </row>
    <row r="105" spans="12:25" ht="14.5" customHeight="1" x14ac:dyDescent="0.35">
      <c r="L105" s="2"/>
      <c r="M105" s="2"/>
      <c r="O105" s="2"/>
      <c r="W105" s="7" t="str">
        <f t="shared" si="6"/>
        <v/>
      </c>
      <c r="X105" s="31" t="str">
        <f t="shared" si="7"/>
        <v/>
      </c>
      <c r="Y105" s="7" t="str">
        <f t="shared" si="8"/>
        <v/>
      </c>
    </row>
    <row r="106" spans="12:25" ht="14.5" customHeight="1" x14ac:dyDescent="0.35">
      <c r="L106" s="2"/>
      <c r="M106" s="2"/>
      <c r="O106" s="2"/>
      <c r="W106" s="7" t="str">
        <f t="shared" si="6"/>
        <v/>
      </c>
      <c r="X106" s="31" t="str">
        <f t="shared" si="7"/>
        <v/>
      </c>
      <c r="Y106" s="7" t="str">
        <f t="shared" si="8"/>
        <v/>
      </c>
    </row>
    <row r="107" spans="12:25" ht="14.5" customHeight="1" x14ac:dyDescent="0.35">
      <c r="L107" s="2"/>
      <c r="M107" s="2"/>
      <c r="O107" s="2"/>
      <c r="W107" s="7" t="str">
        <f t="shared" si="6"/>
        <v/>
      </c>
      <c r="X107" s="31" t="str">
        <f t="shared" si="7"/>
        <v/>
      </c>
      <c r="Y107" s="7" t="str">
        <f t="shared" si="8"/>
        <v/>
      </c>
    </row>
    <row r="108" spans="12:25" ht="14.5" customHeight="1" x14ac:dyDescent="0.35">
      <c r="L108" s="2"/>
      <c r="M108" s="2"/>
      <c r="O108" s="2"/>
      <c r="W108" s="7" t="str">
        <f t="shared" si="6"/>
        <v/>
      </c>
      <c r="X108" s="31" t="str">
        <f t="shared" si="7"/>
        <v/>
      </c>
      <c r="Y108" s="7" t="str">
        <f t="shared" si="8"/>
        <v/>
      </c>
    </row>
    <row r="109" spans="12:25" ht="14.5" customHeight="1" x14ac:dyDescent="0.35">
      <c r="L109" s="2"/>
      <c r="M109" s="2"/>
      <c r="O109" s="2"/>
      <c r="W109" s="7" t="str">
        <f t="shared" si="6"/>
        <v/>
      </c>
      <c r="X109" s="31" t="str">
        <f t="shared" si="7"/>
        <v/>
      </c>
      <c r="Y109" s="7" t="str">
        <f t="shared" si="8"/>
        <v/>
      </c>
    </row>
    <row r="110" spans="12:25" ht="14.5" customHeight="1" x14ac:dyDescent="0.35">
      <c r="L110" s="2"/>
      <c r="M110" s="2"/>
      <c r="O110" s="2"/>
      <c r="W110" s="7" t="str">
        <f t="shared" si="6"/>
        <v/>
      </c>
      <c r="X110" s="31" t="str">
        <f t="shared" si="7"/>
        <v/>
      </c>
      <c r="Y110" s="7" t="str">
        <f t="shared" si="8"/>
        <v/>
      </c>
    </row>
    <row r="111" spans="12:25" ht="14.5" customHeight="1" x14ac:dyDescent="0.35">
      <c r="L111" s="2"/>
      <c r="M111" s="2"/>
      <c r="O111" s="2"/>
      <c r="W111" s="7" t="str">
        <f t="shared" si="6"/>
        <v/>
      </c>
      <c r="X111" s="31" t="str">
        <f t="shared" si="7"/>
        <v/>
      </c>
      <c r="Y111" s="7" t="str">
        <f t="shared" si="8"/>
        <v/>
      </c>
    </row>
    <row r="112" spans="12:25" ht="14.5" customHeight="1" x14ac:dyDescent="0.35">
      <c r="L112" s="2"/>
      <c r="M112" s="2"/>
      <c r="O112" s="2"/>
      <c r="W112" s="7" t="str">
        <f t="shared" si="6"/>
        <v/>
      </c>
      <c r="X112" s="31" t="str">
        <f t="shared" si="7"/>
        <v/>
      </c>
      <c r="Y112" s="7" t="str">
        <f t="shared" si="8"/>
        <v/>
      </c>
    </row>
    <row r="113" spans="12:25" ht="14.5" customHeight="1" x14ac:dyDescent="0.35">
      <c r="L113" s="2"/>
      <c r="M113" s="2"/>
      <c r="O113" s="2"/>
      <c r="W113" s="7" t="str">
        <f t="shared" si="6"/>
        <v/>
      </c>
      <c r="X113" s="31" t="str">
        <f t="shared" si="7"/>
        <v/>
      </c>
      <c r="Y113" s="7" t="str">
        <f t="shared" si="8"/>
        <v/>
      </c>
    </row>
    <row r="114" spans="12:25" ht="14.5" customHeight="1" x14ac:dyDescent="0.35">
      <c r="L114" s="2"/>
      <c r="M114" s="2"/>
      <c r="O114" s="2"/>
      <c r="W114" s="7" t="str">
        <f t="shared" si="6"/>
        <v/>
      </c>
      <c r="X114" s="31" t="str">
        <f t="shared" si="7"/>
        <v/>
      </c>
      <c r="Y114" s="7" t="str">
        <f t="shared" si="8"/>
        <v/>
      </c>
    </row>
    <row r="115" spans="12:25" ht="14.5" customHeight="1" x14ac:dyDescent="0.35">
      <c r="L115" s="2"/>
      <c r="M115" s="2"/>
      <c r="O115" s="2"/>
      <c r="W115" s="7" t="str">
        <f t="shared" si="6"/>
        <v/>
      </c>
      <c r="X115" s="31" t="str">
        <f t="shared" si="7"/>
        <v/>
      </c>
      <c r="Y115" s="7" t="str">
        <f t="shared" si="8"/>
        <v/>
      </c>
    </row>
    <row r="116" spans="12:25" ht="14.5" customHeight="1" x14ac:dyDescent="0.35">
      <c r="L116" s="2"/>
      <c r="M116" s="2"/>
      <c r="O116" s="2"/>
      <c r="W116" s="7" t="str">
        <f t="shared" si="6"/>
        <v/>
      </c>
      <c r="X116" s="31" t="str">
        <f t="shared" si="7"/>
        <v/>
      </c>
      <c r="Y116" s="7" t="str">
        <f t="shared" si="8"/>
        <v/>
      </c>
    </row>
    <row r="117" spans="12:25" ht="14.5" customHeight="1" x14ac:dyDescent="0.35">
      <c r="L117" s="2"/>
      <c r="M117" s="2"/>
      <c r="O117" s="2"/>
      <c r="W117" s="7" t="str">
        <f t="shared" si="6"/>
        <v/>
      </c>
      <c r="X117" s="31" t="str">
        <f t="shared" si="7"/>
        <v/>
      </c>
      <c r="Y117" s="7" t="str">
        <f t="shared" si="8"/>
        <v/>
      </c>
    </row>
    <row r="118" spans="12:25" ht="14.5" customHeight="1" x14ac:dyDescent="0.35">
      <c r="L118" s="2"/>
      <c r="M118" s="2"/>
      <c r="O118" s="2"/>
      <c r="W118" s="7" t="str">
        <f t="shared" si="6"/>
        <v/>
      </c>
      <c r="X118" s="31" t="str">
        <f t="shared" si="7"/>
        <v/>
      </c>
      <c r="Y118" s="7" t="str">
        <f t="shared" si="8"/>
        <v/>
      </c>
    </row>
    <row r="119" spans="12:25" ht="14.5" customHeight="1" x14ac:dyDescent="0.35">
      <c r="L119" s="2"/>
      <c r="M119" s="2"/>
      <c r="O119" s="2"/>
      <c r="W119" s="7" t="str">
        <f t="shared" si="6"/>
        <v/>
      </c>
      <c r="X119" s="31" t="str">
        <f t="shared" si="7"/>
        <v/>
      </c>
      <c r="Y119" s="7" t="str">
        <f t="shared" si="8"/>
        <v/>
      </c>
    </row>
    <row r="120" spans="12:25" ht="14.5" customHeight="1" x14ac:dyDescent="0.35">
      <c r="L120" s="2"/>
      <c r="M120" s="2"/>
      <c r="O120" s="2"/>
      <c r="W120" s="7" t="str">
        <f t="shared" si="6"/>
        <v/>
      </c>
      <c r="X120" s="31" t="str">
        <f t="shared" si="7"/>
        <v/>
      </c>
      <c r="Y120" s="7" t="str">
        <f t="shared" si="8"/>
        <v/>
      </c>
    </row>
    <row r="121" spans="12:25" ht="14.5" customHeight="1" x14ac:dyDescent="0.35">
      <c r="L121" s="2"/>
      <c r="M121" s="2"/>
      <c r="O121" s="2"/>
      <c r="W121" s="7" t="str">
        <f t="shared" si="6"/>
        <v/>
      </c>
      <c r="X121" s="31" t="str">
        <f t="shared" si="7"/>
        <v/>
      </c>
      <c r="Y121" s="7" t="str">
        <f t="shared" si="8"/>
        <v/>
      </c>
    </row>
    <row r="122" spans="12:25" ht="14.5" customHeight="1" x14ac:dyDescent="0.35">
      <c r="L122" s="2"/>
      <c r="M122" s="2"/>
      <c r="O122" s="2"/>
      <c r="W122" s="7" t="str">
        <f t="shared" si="6"/>
        <v/>
      </c>
      <c r="X122" s="31" t="str">
        <f t="shared" si="7"/>
        <v/>
      </c>
      <c r="Y122" s="7" t="str">
        <f t="shared" si="8"/>
        <v/>
      </c>
    </row>
    <row r="123" spans="12:25" ht="14.5" customHeight="1" x14ac:dyDescent="0.35">
      <c r="L123" s="2"/>
      <c r="M123" s="2"/>
      <c r="O123" s="2"/>
      <c r="W123" s="7" t="str">
        <f t="shared" si="6"/>
        <v/>
      </c>
      <c r="X123" s="31" t="str">
        <f t="shared" si="7"/>
        <v/>
      </c>
      <c r="Y123" s="7" t="str">
        <f t="shared" si="8"/>
        <v/>
      </c>
    </row>
    <row r="124" spans="12:25" ht="14.5" customHeight="1" x14ac:dyDescent="0.35">
      <c r="L124" s="2"/>
      <c r="M124" s="2"/>
      <c r="O124" s="2"/>
      <c r="W124" s="7" t="str">
        <f t="shared" si="6"/>
        <v/>
      </c>
      <c r="X124" s="31" t="str">
        <f t="shared" si="7"/>
        <v/>
      </c>
      <c r="Y124" s="7" t="str">
        <f t="shared" si="8"/>
        <v/>
      </c>
    </row>
    <row r="125" spans="12:25" ht="14.5" customHeight="1" x14ac:dyDescent="0.35">
      <c r="L125" s="2"/>
      <c r="M125" s="2"/>
      <c r="O125" s="2"/>
      <c r="W125" s="7" t="str">
        <f t="shared" si="6"/>
        <v/>
      </c>
      <c r="X125" s="31" t="str">
        <f t="shared" si="7"/>
        <v/>
      </c>
      <c r="Y125" s="7" t="str">
        <f t="shared" si="8"/>
        <v/>
      </c>
    </row>
    <row r="126" spans="12:25" ht="14.5" customHeight="1" x14ac:dyDescent="0.35">
      <c r="L126" s="2"/>
      <c r="M126" s="2"/>
      <c r="O126" s="2"/>
      <c r="W126" s="7" t="str">
        <f t="shared" si="6"/>
        <v/>
      </c>
      <c r="X126" s="31" t="str">
        <f t="shared" si="7"/>
        <v/>
      </c>
      <c r="Y126" s="7" t="str">
        <f t="shared" si="8"/>
        <v/>
      </c>
    </row>
    <row r="127" spans="12:25" ht="14.5" customHeight="1" x14ac:dyDescent="0.35">
      <c r="L127" s="2"/>
      <c r="M127" s="2"/>
      <c r="O127" s="2"/>
      <c r="W127" s="7" t="str">
        <f t="shared" si="6"/>
        <v/>
      </c>
      <c r="X127" s="31" t="str">
        <f t="shared" si="7"/>
        <v/>
      </c>
      <c r="Y127" s="7" t="str">
        <f t="shared" si="8"/>
        <v/>
      </c>
    </row>
    <row r="128" spans="12:25" ht="14.5" customHeight="1" x14ac:dyDescent="0.35">
      <c r="L128" s="2"/>
      <c r="M128" s="2"/>
      <c r="O128" s="2"/>
      <c r="W128" s="7" t="str">
        <f t="shared" si="6"/>
        <v/>
      </c>
      <c r="X128" s="31" t="str">
        <f t="shared" si="7"/>
        <v/>
      </c>
      <c r="Y128" s="7" t="str">
        <f t="shared" si="8"/>
        <v/>
      </c>
    </row>
    <row r="129" spans="12:25" ht="14.5" customHeight="1" x14ac:dyDescent="0.35">
      <c r="L129" s="2"/>
      <c r="M129" s="2"/>
      <c r="O129" s="2"/>
      <c r="W129" s="7" t="str">
        <f t="shared" si="6"/>
        <v/>
      </c>
      <c r="X129" s="31" t="str">
        <f t="shared" si="7"/>
        <v/>
      </c>
      <c r="Y129" s="7" t="str">
        <f t="shared" si="8"/>
        <v/>
      </c>
    </row>
    <row r="130" spans="12:25" ht="14.5" customHeight="1" x14ac:dyDescent="0.35">
      <c r="L130" s="2"/>
      <c r="M130" s="2"/>
      <c r="O130" s="2"/>
      <c r="W130" s="7" t="str">
        <f t="shared" si="6"/>
        <v/>
      </c>
      <c r="X130" s="31" t="str">
        <f t="shared" si="7"/>
        <v/>
      </c>
      <c r="Y130" s="7" t="str">
        <f t="shared" si="8"/>
        <v/>
      </c>
    </row>
    <row r="131" spans="12:25" ht="14.5" customHeight="1" x14ac:dyDescent="0.35">
      <c r="L131" s="2"/>
      <c r="M131" s="2"/>
      <c r="O131" s="2"/>
      <c r="W131" s="7" t="str">
        <f t="shared" si="6"/>
        <v/>
      </c>
      <c r="X131" s="31" t="str">
        <f t="shared" si="7"/>
        <v/>
      </c>
      <c r="Y131" s="7" t="str">
        <f t="shared" si="8"/>
        <v/>
      </c>
    </row>
    <row r="132" spans="12:25" ht="14.5" customHeight="1" x14ac:dyDescent="0.35">
      <c r="L132" s="2"/>
      <c r="M132" s="2"/>
      <c r="O132" s="2"/>
      <c r="W132" s="7" t="str">
        <f t="shared" si="6"/>
        <v/>
      </c>
      <c r="X132" s="31" t="str">
        <f t="shared" si="7"/>
        <v/>
      </c>
      <c r="Y132" s="7" t="str">
        <f t="shared" si="8"/>
        <v/>
      </c>
    </row>
    <row r="133" spans="12:25" ht="14.5" customHeight="1" x14ac:dyDescent="0.35">
      <c r="L133" s="2"/>
      <c r="M133" s="2"/>
      <c r="O133" s="2"/>
      <c r="W133" s="7" t="str">
        <f t="shared" si="6"/>
        <v/>
      </c>
      <c r="X133" s="31" t="str">
        <f t="shared" si="7"/>
        <v/>
      </c>
      <c r="Y133" s="7" t="str">
        <f t="shared" si="8"/>
        <v/>
      </c>
    </row>
    <row r="134" spans="12:25" ht="14.5" customHeight="1" x14ac:dyDescent="0.35">
      <c r="L134" s="2"/>
      <c r="M134" s="2"/>
      <c r="O134" s="2"/>
      <c r="W134" s="7" t="str">
        <f t="shared" ref="W134:W196" si="9">IF(COUNTA(E134:I134)=0,"", COUNTA(E134:I134))</f>
        <v/>
      </c>
      <c r="X134" s="31" t="str">
        <f t="shared" ref="X134:X196" si="10">IF(SUM(L134:M134)=0,"",SUM(L134:M134))</f>
        <v/>
      </c>
      <c r="Y134" s="7" t="str">
        <f t="shared" ref="Y134:Y196" si="11">IFERROR(W134*X134,"")</f>
        <v/>
      </c>
    </row>
    <row r="135" spans="12:25" ht="14.5" customHeight="1" x14ac:dyDescent="0.35">
      <c r="L135" s="2"/>
      <c r="M135" s="2"/>
      <c r="O135" s="2"/>
      <c r="W135" s="7" t="str">
        <f t="shared" si="9"/>
        <v/>
      </c>
      <c r="X135" s="31" t="str">
        <f t="shared" si="10"/>
        <v/>
      </c>
      <c r="Y135" s="7" t="str">
        <f t="shared" si="11"/>
        <v/>
      </c>
    </row>
    <row r="136" spans="12:25" ht="14.5" customHeight="1" x14ac:dyDescent="0.35">
      <c r="L136" s="2"/>
      <c r="M136" s="2"/>
      <c r="O136" s="2"/>
      <c r="W136" s="7" t="str">
        <f t="shared" si="9"/>
        <v/>
      </c>
      <c r="X136" s="31" t="str">
        <f t="shared" si="10"/>
        <v/>
      </c>
      <c r="Y136" s="7" t="str">
        <f t="shared" si="11"/>
        <v/>
      </c>
    </row>
    <row r="137" spans="12:25" ht="14.5" customHeight="1" x14ac:dyDescent="0.35">
      <c r="L137" s="2"/>
      <c r="M137" s="2"/>
      <c r="O137" s="2"/>
      <c r="W137" s="7" t="str">
        <f t="shared" si="9"/>
        <v/>
      </c>
      <c r="X137" s="31" t="str">
        <f t="shared" si="10"/>
        <v/>
      </c>
      <c r="Y137" s="7" t="str">
        <f t="shared" si="11"/>
        <v/>
      </c>
    </row>
    <row r="138" spans="12:25" ht="14.5" customHeight="1" x14ac:dyDescent="0.35">
      <c r="L138" s="2"/>
      <c r="M138" s="2"/>
      <c r="O138" s="2"/>
      <c r="W138" s="7" t="str">
        <f t="shared" si="9"/>
        <v/>
      </c>
      <c r="X138" s="31" t="str">
        <f t="shared" si="10"/>
        <v/>
      </c>
      <c r="Y138" s="7" t="str">
        <f t="shared" si="11"/>
        <v/>
      </c>
    </row>
    <row r="139" spans="12:25" ht="14.5" customHeight="1" x14ac:dyDescent="0.35">
      <c r="L139" s="2"/>
      <c r="M139" s="2"/>
      <c r="O139" s="2"/>
      <c r="W139" s="7" t="str">
        <f t="shared" si="9"/>
        <v/>
      </c>
      <c r="X139" s="31" t="str">
        <f t="shared" si="10"/>
        <v/>
      </c>
      <c r="Y139" s="7" t="str">
        <f t="shared" si="11"/>
        <v/>
      </c>
    </row>
    <row r="140" spans="12:25" ht="14.5" customHeight="1" x14ac:dyDescent="0.35">
      <c r="L140" s="2"/>
      <c r="M140" s="2"/>
      <c r="O140" s="2"/>
      <c r="W140" s="7" t="str">
        <f t="shared" si="9"/>
        <v/>
      </c>
      <c r="X140" s="31" t="str">
        <f t="shared" si="10"/>
        <v/>
      </c>
      <c r="Y140" s="7" t="str">
        <f t="shared" si="11"/>
        <v/>
      </c>
    </row>
    <row r="141" spans="12:25" ht="14.5" customHeight="1" x14ac:dyDescent="0.35">
      <c r="L141" s="2"/>
      <c r="M141" s="2"/>
      <c r="O141" s="2"/>
      <c r="W141" s="7" t="str">
        <f t="shared" si="9"/>
        <v/>
      </c>
      <c r="X141" s="31" t="str">
        <f t="shared" si="10"/>
        <v/>
      </c>
      <c r="Y141" s="7" t="str">
        <f t="shared" si="11"/>
        <v/>
      </c>
    </row>
    <row r="142" spans="12:25" ht="14.5" customHeight="1" x14ac:dyDescent="0.35">
      <c r="L142" s="2"/>
      <c r="M142" s="2"/>
      <c r="O142" s="2"/>
      <c r="W142" s="7" t="str">
        <f t="shared" si="9"/>
        <v/>
      </c>
      <c r="X142" s="31" t="str">
        <f t="shared" si="10"/>
        <v/>
      </c>
      <c r="Y142" s="7" t="str">
        <f t="shared" si="11"/>
        <v/>
      </c>
    </row>
    <row r="143" spans="12:25" ht="14.5" customHeight="1" x14ac:dyDescent="0.35">
      <c r="L143" s="2"/>
      <c r="M143" s="2"/>
      <c r="O143" s="2"/>
      <c r="W143" s="7" t="str">
        <f t="shared" si="9"/>
        <v/>
      </c>
      <c r="X143" s="31" t="str">
        <f t="shared" si="10"/>
        <v/>
      </c>
      <c r="Y143" s="7" t="str">
        <f t="shared" si="11"/>
        <v/>
      </c>
    </row>
    <row r="144" spans="12:25" ht="14.5" customHeight="1" x14ac:dyDescent="0.35">
      <c r="L144" s="2"/>
      <c r="M144" s="2"/>
      <c r="O144" s="2"/>
      <c r="W144" s="7" t="str">
        <f t="shared" si="9"/>
        <v/>
      </c>
      <c r="X144" s="31" t="str">
        <f t="shared" si="10"/>
        <v/>
      </c>
      <c r="Y144" s="7" t="str">
        <f t="shared" si="11"/>
        <v/>
      </c>
    </row>
    <row r="145" spans="12:25" ht="14.5" customHeight="1" x14ac:dyDescent="0.35">
      <c r="L145" s="2"/>
      <c r="M145" s="2"/>
      <c r="O145" s="2"/>
      <c r="W145" s="7" t="str">
        <f t="shared" si="9"/>
        <v/>
      </c>
      <c r="X145" s="31" t="str">
        <f t="shared" si="10"/>
        <v/>
      </c>
      <c r="Y145" s="7" t="str">
        <f t="shared" si="11"/>
        <v/>
      </c>
    </row>
    <row r="146" spans="12:25" ht="14.5" customHeight="1" x14ac:dyDescent="0.35">
      <c r="L146" s="2"/>
      <c r="M146" s="2"/>
      <c r="O146" s="2"/>
      <c r="W146" s="7" t="str">
        <f t="shared" si="9"/>
        <v/>
      </c>
      <c r="X146" s="31" t="str">
        <f t="shared" si="10"/>
        <v/>
      </c>
      <c r="Y146" s="7" t="str">
        <f t="shared" si="11"/>
        <v/>
      </c>
    </row>
    <row r="147" spans="12:25" ht="14.5" customHeight="1" x14ac:dyDescent="0.35">
      <c r="L147" s="2"/>
      <c r="M147" s="2"/>
      <c r="O147" s="2"/>
      <c r="W147" s="7" t="str">
        <f t="shared" si="9"/>
        <v/>
      </c>
      <c r="X147" s="31" t="str">
        <f t="shared" si="10"/>
        <v/>
      </c>
      <c r="Y147" s="7" t="str">
        <f t="shared" si="11"/>
        <v/>
      </c>
    </row>
    <row r="148" spans="12:25" ht="14.5" customHeight="1" x14ac:dyDescent="0.35">
      <c r="L148" s="2"/>
      <c r="M148" s="2"/>
      <c r="O148" s="2"/>
      <c r="W148" s="7" t="str">
        <f t="shared" si="9"/>
        <v/>
      </c>
      <c r="X148" s="31" t="str">
        <f t="shared" si="10"/>
        <v/>
      </c>
      <c r="Y148" s="7" t="str">
        <f t="shared" si="11"/>
        <v/>
      </c>
    </row>
    <row r="149" spans="12:25" ht="14.5" customHeight="1" x14ac:dyDescent="0.35">
      <c r="L149" s="2"/>
      <c r="M149" s="2"/>
      <c r="O149" s="2"/>
      <c r="W149" s="7" t="str">
        <f t="shared" si="9"/>
        <v/>
      </c>
      <c r="X149" s="31" t="str">
        <f t="shared" si="10"/>
        <v/>
      </c>
      <c r="Y149" s="7" t="str">
        <f t="shared" si="11"/>
        <v/>
      </c>
    </row>
    <row r="150" spans="12:25" ht="14.5" customHeight="1" x14ac:dyDescent="0.35">
      <c r="L150" s="2"/>
      <c r="M150" s="2"/>
      <c r="O150" s="2"/>
      <c r="W150" s="7" t="str">
        <f t="shared" si="9"/>
        <v/>
      </c>
      <c r="X150" s="31" t="str">
        <f t="shared" si="10"/>
        <v/>
      </c>
      <c r="Y150" s="7" t="str">
        <f t="shared" si="11"/>
        <v/>
      </c>
    </row>
    <row r="151" spans="12:25" ht="14.5" customHeight="1" x14ac:dyDescent="0.35">
      <c r="L151" s="2"/>
      <c r="M151" s="2"/>
      <c r="O151" s="2"/>
      <c r="W151" s="7" t="str">
        <f t="shared" si="9"/>
        <v/>
      </c>
      <c r="X151" s="31" t="str">
        <f t="shared" si="10"/>
        <v/>
      </c>
      <c r="Y151" s="7" t="str">
        <f t="shared" si="11"/>
        <v/>
      </c>
    </row>
    <row r="152" spans="12:25" ht="14.5" customHeight="1" x14ac:dyDescent="0.35">
      <c r="L152" s="2"/>
      <c r="M152" s="2"/>
      <c r="O152" s="2"/>
      <c r="W152" s="7" t="str">
        <f t="shared" si="9"/>
        <v/>
      </c>
      <c r="X152" s="31" t="str">
        <f t="shared" si="10"/>
        <v/>
      </c>
      <c r="Y152" s="7" t="str">
        <f t="shared" si="11"/>
        <v/>
      </c>
    </row>
    <row r="153" spans="12:25" ht="14.5" customHeight="1" x14ac:dyDescent="0.35">
      <c r="L153" s="2"/>
      <c r="M153" s="2"/>
      <c r="O153" s="2"/>
      <c r="W153" s="7" t="str">
        <f t="shared" si="9"/>
        <v/>
      </c>
      <c r="X153" s="31" t="str">
        <f t="shared" si="10"/>
        <v/>
      </c>
      <c r="Y153" s="7" t="str">
        <f t="shared" si="11"/>
        <v/>
      </c>
    </row>
    <row r="154" spans="12:25" ht="14.5" customHeight="1" x14ac:dyDescent="0.35">
      <c r="L154" s="2"/>
      <c r="M154" s="2"/>
      <c r="O154" s="2"/>
      <c r="W154" s="7" t="str">
        <f t="shared" si="9"/>
        <v/>
      </c>
      <c r="X154" s="31" t="str">
        <f t="shared" si="10"/>
        <v/>
      </c>
      <c r="Y154" s="7" t="str">
        <f t="shared" si="11"/>
        <v/>
      </c>
    </row>
    <row r="155" spans="12:25" ht="14.5" customHeight="1" x14ac:dyDescent="0.35">
      <c r="L155" s="2"/>
      <c r="M155" s="2"/>
      <c r="O155" s="2"/>
      <c r="W155" s="7" t="str">
        <f t="shared" si="9"/>
        <v/>
      </c>
      <c r="X155" s="31" t="str">
        <f t="shared" si="10"/>
        <v/>
      </c>
      <c r="Y155" s="7" t="str">
        <f t="shared" si="11"/>
        <v/>
      </c>
    </row>
    <row r="156" spans="12:25" ht="14.5" customHeight="1" x14ac:dyDescent="0.35">
      <c r="L156" s="2"/>
      <c r="M156" s="2"/>
      <c r="O156" s="2"/>
      <c r="W156" s="7" t="str">
        <f t="shared" si="9"/>
        <v/>
      </c>
      <c r="X156" s="31" t="str">
        <f t="shared" si="10"/>
        <v/>
      </c>
      <c r="Y156" s="7" t="str">
        <f t="shared" si="11"/>
        <v/>
      </c>
    </row>
    <row r="157" spans="12:25" ht="14.5" customHeight="1" x14ac:dyDescent="0.35">
      <c r="L157" s="2"/>
      <c r="M157" s="2"/>
      <c r="O157" s="2"/>
      <c r="W157" s="7" t="str">
        <f t="shared" si="9"/>
        <v/>
      </c>
      <c r="X157" s="31" t="str">
        <f t="shared" si="10"/>
        <v/>
      </c>
      <c r="Y157" s="7" t="str">
        <f t="shared" si="11"/>
        <v/>
      </c>
    </row>
    <row r="158" spans="12:25" ht="14.5" customHeight="1" x14ac:dyDescent="0.35">
      <c r="L158" s="2"/>
      <c r="M158" s="2"/>
      <c r="O158" s="2"/>
      <c r="W158" s="7" t="str">
        <f t="shared" si="9"/>
        <v/>
      </c>
      <c r="X158" s="31" t="str">
        <f t="shared" si="10"/>
        <v/>
      </c>
      <c r="Y158" s="7" t="str">
        <f t="shared" si="11"/>
        <v/>
      </c>
    </row>
    <row r="159" spans="12:25" ht="14.5" customHeight="1" x14ac:dyDescent="0.35">
      <c r="L159" s="2"/>
      <c r="M159" s="2"/>
      <c r="O159" s="2"/>
      <c r="W159" s="7" t="str">
        <f t="shared" si="9"/>
        <v/>
      </c>
      <c r="X159" s="31" t="str">
        <f t="shared" si="10"/>
        <v/>
      </c>
      <c r="Y159" s="7" t="str">
        <f t="shared" si="11"/>
        <v/>
      </c>
    </row>
    <row r="160" spans="12:25" ht="14.5" customHeight="1" x14ac:dyDescent="0.35">
      <c r="L160" s="2"/>
      <c r="M160" s="2"/>
      <c r="O160" s="2"/>
      <c r="W160" s="7" t="str">
        <f t="shared" si="9"/>
        <v/>
      </c>
      <c r="X160" s="31" t="str">
        <f t="shared" si="10"/>
        <v/>
      </c>
      <c r="Y160" s="7" t="str">
        <f t="shared" si="11"/>
        <v/>
      </c>
    </row>
    <row r="161" spans="12:25" ht="14.5" customHeight="1" x14ac:dyDescent="0.35">
      <c r="L161" s="2"/>
      <c r="M161" s="2"/>
      <c r="O161" s="2"/>
      <c r="W161" s="7" t="str">
        <f t="shared" si="9"/>
        <v/>
      </c>
      <c r="X161" s="31" t="str">
        <f t="shared" si="10"/>
        <v/>
      </c>
      <c r="Y161" s="7" t="str">
        <f t="shared" si="11"/>
        <v/>
      </c>
    </row>
    <row r="162" spans="12:25" ht="14.5" customHeight="1" x14ac:dyDescent="0.35">
      <c r="L162" s="2"/>
      <c r="M162" s="2"/>
      <c r="O162" s="2"/>
      <c r="W162" s="7" t="str">
        <f t="shared" si="9"/>
        <v/>
      </c>
      <c r="X162" s="31" t="str">
        <f t="shared" si="10"/>
        <v/>
      </c>
      <c r="Y162" s="7" t="str">
        <f t="shared" si="11"/>
        <v/>
      </c>
    </row>
    <row r="163" spans="12:25" ht="14.5" customHeight="1" x14ac:dyDescent="0.35">
      <c r="L163" s="2"/>
      <c r="M163" s="2"/>
      <c r="O163" s="2"/>
      <c r="W163" s="7" t="str">
        <f t="shared" si="9"/>
        <v/>
      </c>
      <c r="X163" s="31" t="str">
        <f t="shared" si="10"/>
        <v/>
      </c>
      <c r="Y163" s="7" t="str">
        <f t="shared" si="11"/>
        <v/>
      </c>
    </row>
    <row r="164" spans="12:25" ht="14.5" customHeight="1" x14ac:dyDescent="0.35">
      <c r="L164" s="2"/>
      <c r="M164" s="2"/>
      <c r="O164" s="2"/>
      <c r="W164" s="7" t="str">
        <f t="shared" si="9"/>
        <v/>
      </c>
      <c r="X164" s="31" t="str">
        <f t="shared" si="10"/>
        <v/>
      </c>
      <c r="Y164" s="7" t="str">
        <f t="shared" si="11"/>
        <v/>
      </c>
    </row>
    <row r="165" spans="12:25" ht="14.5" customHeight="1" x14ac:dyDescent="0.35">
      <c r="L165" s="2"/>
      <c r="M165" s="2"/>
      <c r="O165" s="2"/>
      <c r="W165" s="7" t="str">
        <f t="shared" si="9"/>
        <v/>
      </c>
      <c r="X165" s="31" t="str">
        <f t="shared" si="10"/>
        <v/>
      </c>
      <c r="Y165" s="7" t="str">
        <f t="shared" si="11"/>
        <v/>
      </c>
    </row>
    <row r="166" spans="12:25" ht="14.5" customHeight="1" x14ac:dyDescent="0.35">
      <c r="L166" s="2"/>
      <c r="M166" s="2"/>
      <c r="O166" s="2"/>
      <c r="W166" s="7" t="str">
        <f t="shared" si="9"/>
        <v/>
      </c>
      <c r="X166" s="31" t="str">
        <f t="shared" si="10"/>
        <v/>
      </c>
      <c r="Y166" s="7" t="str">
        <f t="shared" si="11"/>
        <v/>
      </c>
    </row>
    <row r="167" spans="12:25" ht="14.5" customHeight="1" x14ac:dyDescent="0.35">
      <c r="L167" s="2"/>
      <c r="M167" s="2"/>
      <c r="O167" s="2"/>
      <c r="W167" s="7" t="str">
        <f t="shared" si="9"/>
        <v/>
      </c>
      <c r="X167" s="31" t="str">
        <f t="shared" si="10"/>
        <v/>
      </c>
      <c r="Y167" s="7" t="str">
        <f t="shared" si="11"/>
        <v/>
      </c>
    </row>
    <row r="168" spans="12:25" ht="14.5" customHeight="1" x14ac:dyDescent="0.35">
      <c r="L168" s="2"/>
      <c r="M168" s="2"/>
      <c r="O168" s="2"/>
      <c r="W168" s="7" t="str">
        <f t="shared" si="9"/>
        <v/>
      </c>
      <c r="X168" s="31" t="str">
        <f t="shared" si="10"/>
        <v/>
      </c>
      <c r="Y168" s="7" t="str">
        <f t="shared" si="11"/>
        <v/>
      </c>
    </row>
    <row r="169" spans="12:25" ht="14.5" customHeight="1" x14ac:dyDescent="0.35">
      <c r="L169" s="2"/>
      <c r="M169" s="2"/>
      <c r="O169" s="2"/>
      <c r="W169" s="7" t="str">
        <f t="shared" si="9"/>
        <v/>
      </c>
      <c r="X169" s="31" t="str">
        <f t="shared" si="10"/>
        <v/>
      </c>
      <c r="Y169" s="7" t="str">
        <f t="shared" si="11"/>
        <v/>
      </c>
    </row>
    <row r="170" spans="12:25" ht="14.5" customHeight="1" x14ac:dyDescent="0.35">
      <c r="L170" s="2"/>
      <c r="M170" s="2"/>
      <c r="O170" s="2"/>
      <c r="W170" s="7" t="str">
        <f t="shared" si="9"/>
        <v/>
      </c>
      <c r="X170" s="31" t="str">
        <f t="shared" si="10"/>
        <v/>
      </c>
      <c r="Y170" s="7" t="str">
        <f t="shared" si="11"/>
        <v/>
      </c>
    </row>
    <row r="171" spans="12:25" ht="14.5" customHeight="1" x14ac:dyDescent="0.35">
      <c r="L171" s="2"/>
      <c r="M171" s="2"/>
      <c r="O171" s="2"/>
      <c r="W171" s="7" t="str">
        <f t="shared" si="9"/>
        <v/>
      </c>
      <c r="X171" s="31" t="str">
        <f t="shared" si="10"/>
        <v/>
      </c>
      <c r="Y171" s="7" t="str">
        <f t="shared" si="11"/>
        <v/>
      </c>
    </row>
    <row r="172" spans="12:25" ht="14.5" customHeight="1" x14ac:dyDescent="0.35">
      <c r="L172" s="2"/>
      <c r="M172" s="2"/>
      <c r="O172" s="2"/>
      <c r="W172" s="7" t="str">
        <f t="shared" si="9"/>
        <v/>
      </c>
      <c r="X172" s="31" t="str">
        <f t="shared" si="10"/>
        <v/>
      </c>
      <c r="Y172" s="7" t="str">
        <f t="shared" si="11"/>
        <v/>
      </c>
    </row>
    <row r="173" spans="12:25" ht="14.5" customHeight="1" x14ac:dyDescent="0.35">
      <c r="L173" s="2"/>
      <c r="M173" s="2"/>
      <c r="O173" s="2"/>
      <c r="W173" s="7" t="str">
        <f t="shared" si="9"/>
        <v/>
      </c>
      <c r="X173" s="31" t="str">
        <f t="shared" si="10"/>
        <v/>
      </c>
      <c r="Y173" s="7" t="str">
        <f t="shared" si="11"/>
        <v/>
      </c>
    </row>
    <row r="174" spans="12:25" ht="14.5" customHeight="1" x14ac:dyDescent="0.35">
      <c r="L174" s="2"/>
      <c r="M174" s="2"/>
      <c r="O174" s="2"/>
      <c r="W174" s="7" t="str">
        <f t="shared" si="9"/>
        <v/>
      </c>
      <c r="X174" s="31" t="str">
        <f t="shared" si="10"/>
        <v/>
      </c>
      <c r="Y174" s="7" t="str">
        <f t="shared" si="11"/>
        <v/>
      </c>
    </row>
    <row r="175" spans="12:25" ht="14.5" customHeight="1" x14ac:dyDescent="0.35">
      <c r="L175" s="2"/>
      <c r="M175" s="2"/>
      <c r="O175" s="2"/>
      <c r="W175" s="7" t="str">
        <f t="shared" si="9"/>
        <v/>
      </c>
      <c r="X175" s="31" t="str">
        <f t="shared" si="10"/>
        <v/>
      </c>
      <c r="Y175" s="7" t="str">
        <f t="shared" si="11"/>
        <v/>
      </c>
    </row>
    <row r="176" spans="12:25" ht="14.5" customHeight="1" x14ac:dyDescent="0.35">
      <c r="L176" s="2"/>
      <c r="M176" s="2"/>
      <c r="O176" s="2"/>
      <c r="W176" s="7" t="str">
        <f t="shared" si="9"/>
        <v/>
      </c>
      <c r="X176" s="31" t="str">
        <f t="shared" si="10"/>
        <v/>
      </c>
      <c r="Y176" s="7" t="str">
        <f t="shared" si="11"/>
        <v/>
      </c>
    </row>
    <row r="177" spans="12:25" ht="14.5" customHeight="1" x14ac:dyDescent="0.35">
      <c r="L177" s="2"/>
      <c r="M177" s="2"/>
      <c r="O177" s="2"/>
      <c r="W177" s="7" t="str">
        <f t="shared" si="9"/>
        <v/>
      </c>
      <c r="X177" s="31" t="str">
        <f t="shared" si="10"/>
        <v/>
      </c>
      <c r="Y177" s="7" t="str">
        <f t="shared" si="11"/>
        <v/>
      </c>
    </row>
    <row r="178" spans="12:25" ht="14.5" customHeight="1" x14ac:dyDescent="0.35">
      <c r="L178" s="2"/>
      <c r="M178" s="2"/>
      <c r="O178" s="2"/>
      <c r="W178" s="7" t="str">
        <f t="shared" si="9"/>
        <v/>
      </c>
      <c r="X178" s="31" t="str">
        <f t="shared" si="10"/>
        <v/>
      </c>
      <c r="Y178" s="7" t="str">
        <f t="shared" si="11"/>
        <v/>
      </c>
    </row>
    <row r="179" spans="12:25" ht="14.5" customHeight="1" x14ac:dyDescent="0.35">
      <c r="L179" s="2"/>
      <c r="M179" s="2"/>
      <c r="O179" s="2"/>
      <c r="W179" s="7" t="str">
        <f t="shared" si="9"/>
        <v/>
      </c>
      <c r="X179" s="31" t="str">
        <f t="shared" si="10"/>
        <v/>
      </c>
      <c r="Y179" s="7" t="str">
        <f t="shared" si="11"/>
        <v/>
      </c>
    </row>
    <row r="180" spans="12:25" ht="14.5" customHeight="1" x14ac:dyDescent="0.35">
      <c r="L180" s="2"/>
      <c r="M180" s="2"/>
      <c r="O180" s="2"/>
      <c r="W180" s="7" t="str">
        <f t="shared" si="9"/>
        <v/>
      </c>
      <c r="X180" s="31" t="str">
        <f t="shared" si="10"/>
        <v/>
      </c>
      <c r="Y180" s="7" t="str">
        <f t="shared" si="11"/>
        <v/>
      </c>
    </row>
    <row r="181" spans="12:25" ht="14.5" customHeight="1" x14ac:dyDescent="0.35">
      <c r="L181" s="2"/>
      <c r="M181" s="2"/>
      <c r="O181" s="2"/>
      <c r="W181" s="7" t="str">
        <f t="shared" si="9"/>
        <v/>
      </c>
      <c r="X181" s="31" t="str">
        <f t="shared" si="10"/>
        <v/>
      </c>
      <c r="Y181" s="7" t="str">
        <f t="shared" si="11"/>
        <v/>
      </c>
    </row>
    <row r="182" spans="12:25" ht="14.5" customHeight="1" x14ac:dyDescent="0.35">
      <c r="L182" s="2"/>
      <c r="M182" s="2"/>
      <c r="O182" s="2"/>
      <c r="W182" s="7" t="str">
        <f t="shared" si="9"/>
        <v/>
      </c>
      <c r="X182" s="31" t="str">
        <f t="shared" si="10"/>
        <v/>
      </c>
      <c r="Y182" s="7" t="str">
        <f t="shared" si="11"/>
        <v/>
      </c>
    </row>
    <row r="183" spans="12:25" ht="14.5" customHeight="1" x14ac:dyDescent="0.35">
      <c r="L183" s="2"/>
      <c r="M183" s="2"/>
      <c r="O183" s="2"/>
      <c r="W183" s="7" t="str">
        <f t="shared" si="9"/>
        <v/>
      </c>
      <c r="X183" s="31" t="str">
        <f t="shared" si="10"/>
        <v/>
      </c>
      <c r="Y183" s="7" t="str">
        <f t="shared" si="11"/>
        <v/>
      </c>
    </row>
    <row r="184" spans="12:25" ht="14.5" customHeight="1" x14ac:dyDescent="0.35">
      <c r="L184" s="2"/>
      <c r="M184" s="2"/>
      <c r="O184" s="2"/>
      <c r="W184" s="7" t="str">
        <f t="shared" si="9"/>
        <v/>
      </c>
      <c r="X184" s="31" t="str">
        <f t="shared" si="10"/>
        <v/>
      </c>
      <c r="Y184" s="7" t="str">
        <f t="shared" si="11"/>
        <v/>
      </c>
    </row>
    <row r="185" spans="12:25" ht="14.5" customHeight="1" x14ac:dyDescent="0.35">
      <c r="L185" s="2"/>
      <c r="M185" s="2"/>
      <c r="O185" s="2"/>
      <c r="W185" s="7" t="str">
        <f t="shared" si="9"/>
        <v/>
      </c>
      <c r="X185" s="31" t="str">
        <f t="shared" si="10"/>
        <v/>
      </c>
      <c r="Y185" s="7" t="str">
        <f t="shared" si="11"/>
        <v/>
      </c>
    </row>
    <row r="186" spans="12:25" ht="14.5" customHeight="1" x14ac:dyDescent="0.35">
      <c r="L186" s="2"/>
      <c r="M186" s="2"/>
      <c r="O186" s="2"/>
      <c r="W186" s="7" t="str">
        <f t="shared" si="9"/>
        <v/>
      </c>
      <c r="X186" s="31" t="str">
        <f t="shared" si="10"/>
        <v/>
      </c>
      <c r="Y186" s="7" t="str">
        <f t="shared" si="11"/>
        <v/>
      </c>
    </row>
    <row r="187" spans="12:25" ht="14.5" customHeight="1" x14ac:dyDescent="0.35">
      <c r="L187" s="2"/>
      <c r="M187" s="2"/>
      <c r="O187" s="2"/>
      <c r="W187" s="7" t="str">
        <f t="shared" si="9"/>
        <v/>
      </c>
      <c r="X187" s="31" t="str">
        <f t="shared" si="10"/>
        <v/>
      </c>
      <c r="Y187" s="7" t="str">
        <f t="shared" si="11"/>
        <v/>
      </c>
    </row>
    <row r="188" spans="12:25" ht="14.5" customHeight="1" x14ac:dyDescent="0.35">
      <c r="L188" s="2"/>
      <c r="M188" s="2"/>
      <c r="O188" s="2"/>
      <c r="W188" s="7" t="str">
        <f t="shared" si="9"/>
        <v/>
      </c>
      <c r="X188" s="31" t="str">
        <f t="shared" si="10"/>
        <v/>
      </c>
      <c r="Y188" s="7" t="str">
        <f t="shared" si="11"/>
        <v/>
      </c>
    </row>
    <row r="189" spans="12:25" ht="14.5" customHeight="1" x14ac:dyDescent="0.35">
      <c r="L189" s="2"/>
      <c r="M189" s="2"/>
      <c r="O189" s="2"/>
      <c r="W189" s="7" t="str">
        <f t="shared" si="9"/>
        <v/>
      </c>
      <c r="X189" s="31" t="str">
        <f t="shared" si="10"/>
        <v/>
      </c>
      <c r="Y189" s="7" t="str">
        <f t="shared" si="11"/>
        <v/>
      </c>
    </row>
    <row r="190" spans="12:25" ht="14.5" customHeight="1" x14ac:dyDescent="0.35">
      <c r="L190" s="2"/>
      <c r="M190" s="2"/>
      <c r="O190" s="2"/>
      <c r="W190" s="7" t="str">
        <f t="shared" si="9"/>
        <v/>
      </c>
      <c r="X190" s="31" t="str">
        <f t="shared" si="10"/>
        <v/>
      </c>
      <c r="Y190" s="7" t="str">
        <f t="shared" si="11"/>
        <v/>
      </c>
    </row>
    <row r="191" spans="12:25" ht="14.5" customHeight="1" x14ac:dyDescent="0.35">
      <c r="L191" s="2"/>
      <c r="M191" s="2"/>
      <c r="O191" s="2"/>
      <c r="W191" s="7" t="str">
        <f t="shared" si="9"/>
        <v/>
      </c>
      <c r="X191" s="31" t="str">
        <f t="shared" si="10"/>
        <v/>
      </c>
      <c r="Y191" s="7" t="str">
        <f t="shared" si="11"/>
        <v/>
      </c>
    </row>
    <row r="192" spans="12:25" ht="14.5" customHeight="1" x14ac:dyDescent="0.35">
      <c r="L192" s="2"/>
      <c r="M192" s="2"/>
      <c r="O192" s="2"/>
      <c r="W192" s="7" t="str">
        <f t="shared" si="9"/>
        <v/>
      </c>
      <c r="X192" s="31" t="str">
        <f t="shared" si="10"/>
        <v/>
      </c>
      <c r="Y192" s="7" t="str">
        <f t="shared" si="11"/>
        <v/>
      </c>
    </row>
    <row r="193" spans="12:25" ht="14.5" customHeight="1" x14ac:dyDescent="0.35">
      <c r="L193" s="2"/>
      <c r="M193" s="2"/>
      <c r="O193" s="2"/>
      <c r="W193" s="7" t="str">
        <f t="shared" si="9"/>
        <v/>
      </c>
      <c r="X193" s="31" t="str">
        <f t="shared" si="10"/>
        <v/>
      </c>
      <c r="Y193" s="7" t="str">
        <f t="shared" si="11"/>
        <v/>
      </c>
    </row>
    <row r="194" spans="12:25" ht="14.5" customHeight="1" x14ac:dyDescent="0.35">
      <c r="L194" s="2"/>
      <c r="M194" s="2"/>
      <c r="O194" s="2"/>
      <c r="W194" s="7" t="str">
        <f t="shared" si="9"/>
        <v/>
      </c>
      <c r="X194" s="31" t="str">
        <f t="shared" si="10"/>
        <v/>
      </c>
      <c r="Y194" s="7" t="str">
        <f t="shared" si="11"/>
        <v/>
      </c>
    </row>
    <row r="195" spans="12:25" ht="14.5" customHeight="1" x14ac:dyDescent="0.35">
      <c r="L195" s="2"/>
      <c r="M195" s="2"/>
      <c r="O195" s="2"/>
      <c r="W195" s="7" t="str">
        <f t="shared" si="9"/>
        <v/>
      </c>
      <c r="X195" s="31" t="str">
        <f t="shared" si="10"/>
        <v/>
      </c>
      <c r="Y195" s="7" t="str">
        <f t="shared" si="11"/>
        <v/>
      </c>
    </row>
    <row r="196" spans="12:25" ht="14.5" customHeight="1" x14ac:dyDescent="0.35">
      <c r="L196" s="2"/>
      <c r="M196" s="2"/>
      <c r="O196" s="2"/>
      <c r="W196" s="7" t="str">
        <f t="shared" si="9"/>
        <v/>
      </c>
      <c r="X196" s="31" t="str">
        <f t="shared" si="10"/>
        <v/>
      </c>
      <c r="Y196" s="7" t="str">
        <f t="shared" si="11"/>
        <v/>
      </c>
    </row>
  </sheetData>
  <sheetProtection algorithmName="SHA-512" hashValue="sJM+ojHZk2rcHyVk6TajPrHbgPrpDA1qxUsQNzMdqQKU6MMmWevKZEOuKE2fWsTSggwdFRB8kVa/m/cFiuKwjg==" saltValue="i9E8RoCtvQXPx3Co69OywQ==" spinCount="100000" sheet="1" formatColumns="0" selectLockedCells="1"/>
  <mergeCells count="3">
    <mergeCell ref="F2:K2"/>
    <mergeCell ref="P2:T2"/>
    <mergeCell ref="F1:P1"/>
  </mergeCells>
  <phoneticPr fontId="4" type="noConversion"/>
  <conditionalFormatting sqref="A5:V1048576">
    <cfRule type="expression" dxfId="2" priority="1">
      <formula>$J5="Standby"</formula>
    </cfRule>
  </conditionalFormatting>
  <conditionalFormatting sqref="A4:Y4">
    <cfRule type="expression" dxfId="1" priority="4">
      <formula>$J4="Standby"</formula>
    </cfRule>
  </conditionalFormatting>
  <dataValidations xWindow="1121" yWindow="497" count="9">
    <dataValidation type="decimal" allowBlank="1" showInputMessage="1" showErrorMessage="1" errorTitle="Wrong Input" error="Please input a number" sqref="P5:Q1048576" xr:uid="{62AD2DAC-3F7F-4644-B254-2A3E812B9308}">
      <formula1>0</formula1>
      <formula2>100</formula2>
    </dataValidation>
    <dataValidation type="date" allowBlank="1" showInputMessage="1" showErrorMessage="1" errorTitle="Wrong Input" error="Please input the date as in format_x000a_Day / Month / Year_x000a__x000a_For ex : 01/03/2024" promptTitle="Tip" prompt="Format : day/month/year _x000a_Example : 01/03/2024" sqref="A5:A1048576" xr:uid="{0B26B321-412E-4668-B3FB-27B23EF8CF54}">
      <formula1>42005</formula1>
      <formula2>72686</formula2>
    </dataValidation>
    <dataValidation type="list" allowBlank="1" showInputMessage="1" showErrorMessage="1" sqref="C5:C1048576" xr:uid="{91826C3A-3F3E-4987-924D-D5C87C920891}">
      <formula1>"Pitch 1, Pitch 2, Pitch 3"</formula1>
    </dataValidation>
    <dataValidation type="decimal" allowBlank="1" showInputMessage="1" showErrorMessage="1" errorTitle="Wrong Input" error="Please input days remaining as decimal number" promptTitle="Tip" prompt="Input your Estimation on that specific day. This value can be increased by time if there are some bottlenecks during operation." sqref="O5:O1048576" xr:uid="{2624F69C-2786-45E7-9540-62FB884B1929}">
      <formula1>0</formula1>
      <formula2>999</formula2>
    </dataValidation>
    <dataValidation type="decimal" allowBlank="1" showInputMessage="1" showErrorMessage="1" errorTitle="Wrong Input" error="Please input a number" sqref="R5:S1048576" xr:uid="{4D90182E-42B1-4800-AFC8-D5DD3620426D}">
      <formula1>-50</formula1>
      <formula2>60</formula2>
    </dataValidation>
    <dataValidation type="list" allowBlank="1" showInputMessage="1" showErrorMessage="1" sqref="V5:V1048576 T5:T1048576" xr:uid="{61B1BC11-4CC6-4417-84D4-85A1BCEE75D0}">
      <formula1>"Yes, No"</formula1>
    </dataValidation>
    <dataValidation type="whole" allowBlank="1" showInputMessage="1" showErrorMessage="1" errorTitle="Wrong Input" error="Please input a whole number as KM's" sqref="U5:U1048576" xr:uid="{475E4F68-7950-4E4D-B080-2E2712B9C6B8}">
      <formula1>0</formula1>
      <formula2>9999</formula2>
    </dataValidation>
    <dataValidation type="decimal" allowBlank="1" showInputMessage="1" showErrorMessage="1" errorTitle="Only number input" error="You can use seperator for eg &quot;2.5&quot; or &quot;2,5&quot; depending your regional setup._x000a_Maximum 12 hours can be inputted." promptTitle="Tip" prompt="You can use seperator for eg &quot;2.5&quot; or &quot;2,5&quot; depending your regional setup._x000a_Maximum 12 hours can be inputted." sqref="L5:M1048576" xr:uid="{BD4A816D-124D-4916-8E37-98D302A03EBF}">
      <formula1>0.01</formula1>
      <formula2>12</formula2>
    </dataValidation>
    <dataValidation type="list" allowBlank="1" showInputMessage="1" showErrorMessage="1" promptTitle="Tip" prompt="If there is nothing in the list, leave empty" sqref="K5:K1048576" xr:uid="{DD14E70C-7202-4A11-984F-050394F0934F}">
      <formula1>INDIRECT(SUBSTITUTE(J5," ","_"))</formula1>
    </dataValidation>
  </dataValidations>
  <pageMargins left="0.7" right="0.7" top="0.75" bottom="0.75" header="0.3" footer="0.3"/>
  <pageSetup scale="23" orientation="portrait" horizontalDpi="300" verticalDpi="300" r:id="rId1"/>
  <headerFooter>
    <oddHeader>&amp;C&amp;"Verdana"&amp;10&amp;K000000 Classification: Public&amp;1#_x000D_</oddHeader>
  </headerFooter>
  <ignoredErrors>
    <ignoredError sqref="O2" formulaRange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xWindow="1121" yWindow="497" count="3">
        <x14:dataValidation type="list" allowBlank="1" showInputMessage="1" showErrorMessage="1" promptTitle="Tip" prompt="Please input all the activities performed. _x000a_If activity is not listed here, contact to your Nordex Reference" xr:uid="{1B7EBD9F-28F1-4CE1-A3EB-E63DBEC658D7}">
          <x14:formula1>
            <xm:f>dropdowns!$A$2:$A$34</xm:f>
          </x14:formula1>
          <xm:sqref>J6:J1048576</xm:sqref>
        </x14:dataValidation>
        <x14:dataValidation type="list" allowBlank="1" showInputMessage="1" showErrorMessage="1" promptTitle="Tip" prompt="Please input all the activities performed. _x000a_If activity is not listed here, contact to your Nordex Reference" xr:uid="{27D1AFD8-A37B-4D4A-8139-4D306B989BED}">
          <x14:formula1>
            <xm:f>dropdowns!$A$2:$A$37</xm:f>
          </x14:formula1>
          <xm:sqref>J5</xm:sqref>
        </x14:dataValidation>
        <x14:dataValidation type="list" allowBlank="1" showInputMessage="1" showErrorMessage="1" xr:uid="{B681CA87-05F4-447D-963F-1DC2BD7E50F5}">
          <x14:formula1>
            <xm:f>Variables!$G1:$G6</xm:f>
          </x14:formula1>
          <xm:sqref>A2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34998626667073579"/>
  </sheetPr>
  <dimension ref="A1:Y24"/>
  <sheetViews>
    <sheetView showGridLines="0" showRowColHeaders="0" topLeftCell="J1" zoomScaleNormal="100" workbookViewId="0">
      <selection activeCell="O3" sqref="O3"/>
    </sheetView>
  </sheetViews>
  <sheetFormatPr defaultRowHeight="14.5" customHeight="1" zeroHeight="1" outlineLevelCol="1" x14ac:dyDescent="0.35"/>
  <cols>
    <col min="1" max="1" width="16.1796875" customWidth="1"/>
    <col min="2" max="2" width="10.81640625" customWidth="1"/>
    <col min="3" max="3" width="7.81640625" customWidth="1"/>
    <col min="4" max="4" width="14" bestFit="1" customWidth="1"/>
    <col min="5" max="5" width="21.54296875" customWidth="1"/>
    <col min="6" max="6" width="21.81640625" customWidth="1"/>
    <col min="7" max="9" width="18.54296875" hidden="1" customWidth="1" outlineLevel="1"/>
    <col min="10" max="10" width="21.81640625" customWidth="1" collapsed="1"/>
    <col min="11" max="11" width="22.1796875" bestFit="1" customWidth="1"/>
    <col min="12" max="12" width="7.26953125" customWidth="1"/>
    <col min="13" max="13" width="4.7265625" bestFit="1" customWidth="1"/>
    <col min="14" max="14" width="9.36328125" bestFit="1" customWidth="1"/>
    <col min="15" max="15" width="8.81640625" customWidth="1"/>
    <col min="16" max="17" width="8.453125" customWidth="1"/>
    <col min="18" max="18" width="7" customWidth="1"/>
    <col min="19" max="19" width="6.7265625" customWidth="1"/>
    <col min="20" max="20" width="9.453125" customWidth="1"/>
    <col min="21" max="21" width="10.7265625" customWidth="1"/>
    <col min="22" max="22" width="9.1796875" customWidth="1"/>
    <col min="23" max="23" width="8.453125" customWidth="1"/>
    <col min="24" max="24" width="6.453125" customWidth="1"/>
    <col min="25" max="25" width="6.81640625" customWidth="1"/>
  </cols>
  <sheetData>
    <row r="1" spans="1:25" ht="43" customHeight="1" thickTop="1" thickBot="1" x14ac:dyDescent="0.4">
      <c r="A1" s="13"/>
      <c r="B1" s="13"/>
      <c r="C1" s="13"/>
      <c r="D1" s="13"/>
      <c r="E1" s="13"/>
      <c r="F1" s="44" t="s">
        <v>249</v>
      </c>
      <c r="G1" s="44"/>
      <c r="H1" s="44"/>
      <c r="I1" s="44"/>
      <c r="J1" s="44"/>
      <c r="K1" s="44"/>
      <c r="L1" s="44"/>
      <c r="M1" s="44"/>
      <c r="N1" s="44"/>
      <c r="O1" s="44"/>
      <c r="P1" s="44"/>
      <c r="Q1" s="44" t="s">
        <v>304</v>
      </c>
      <c r="R1" s="44"/>
      <c r="S1" s="13"/>
      <c r="T1" s="13"/>
      <c r="U1" s="13"/>
      <c r="V1" s="13"/>
      <c r="W1" s="13"/>
      <c r="X1" s="9"/>
      <c r="Y1" s="10"/>
    </row>
    <row r="2" spans="1:25" ht="18.649999999999999" customHeight="1" thickTop="1" thickBot="1" x14ac:dyDescent="0.4">
      <c r="A2" s="25" t="s">
        <v>0</v>
      </c>
      <c r="D2" s="14"/>
      <c r="E2" s="14"/>
      <c r="F2" s="29" t="s">
        <v>265</v>
      </c>
      <c r="G2" s="29"/>
      <c r="H2" s="29"/>
      <c r="I2" s="29"/>
      <c r="J2" s="29"/>
      <c r="K2" s="29"/>
      <c r="L2" s="14"/>
      <c r="M2" s="14"/>
      <c r="N2" s="21"/>
      <c r="O2" s="22">
        <v>0</v>
      </c>
      <c r="P2" s="43" t="s">
        <v>253</v>
      </c>
      <c r="Q2" s="43"/>
      <c r="R2" s="43"/>
      <c r="S2" s="43"/>
      <c r="T2" s="43"/>
      <c r="U2" s="22"/>
      <c r="V2" s="22"/>
      <c r="W2" s="14"/>
      <c r="X2" s="15">
        <v>42</v>
      </c>
      <c r="Y2" s="16">
        <v>66</v>
      </c>
    </row>
    <row r="3" spans="1:25" s="27" customFormat="1" ht="64.5" customHeight="1" thickTop="1" thickBot="1" x14ac:dyDescent="0.4">
      <c r="A3" s="8" t="s">
        <v>3</v>
      </c>
      <c r="B3" s="8" t="s">
        <v>4</v>
      </c>
      <c r="C3" s="8" t="s">
        <v>14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251</v>
      </c>
      <c r="M3" s="8" t="s">
        <v>13</v>
      </c>
      <c r="N3" s="8" t="s">
        <v>15</v>
      </c>
      <c r="O3" s="8" t="s">
        <v>252</v>
      </c>
      <c r="P3" s="8" t="s">
        <v>245</v>
      </c>
      <c r="Q3" s="8" t="s">
        <v>244</v>
      </c>
      <c r="R3" s="8" t="s">
        <v>22</v>
      </c>
      <c r="S3" s="8" t="s">
        <v>23</v>
      </c>
      <c r="T3" s="8" t="s">
        <v>24</v>
      </c>
      <c r="U3" s="8" t="s">
        <v>235</v>
      </c>
      <c r="V3" s="8" t="s">
        <v>238</v>
      </c>
      <c r="W3" s="8" t="s">
        <v>16</v>
      </c>
      <c r="X3" s="8" t="s">
        <v>17</v>
      </c>
      <c r="Y3" s="8" t="s">
        <v>242</v>
      </c>
    </row>
    <row r="4" spans="1:25" ht="15" thickTop="1" x14ac:dyDescent="0.35">
      <c r="A4" s="24">
        <v>45478</v>
      </c>
      <c r="B4" s="2" t="s">
        <v>254</v>
      </c>
      <c r="C4" s="2" t="s">
        <v>243</v>
      </c>
      <c r="D4" s="26"/>
      <c r="E4" s="26" t="s">
        <v>255</v>
      </c>
      <c r="F4" s="26" t="s">
        <v>256</v>
      </c>
      <c r="G4" s="26"/>
      <c r="H4" s="26"/>
      <c r="I4" s="26"/>
      <c r="J4" s="26" t="s">
        <v>107</v>
      </c>
      <c r="K4" s="26"/>
      <c r="L4" s="2">
        <v>2</v>
      </c>
      <c r="M4" s="2"/>
      <c r="N4" s="26"/>
      <c r="O4" s="2">
        <v>3</v>
      </c>
      <c r="P4" s="5">
        <v>0.52</v>
      </c>
      <c r="Q4" s="5">
        <v>0.61</v>
      </c>
      <c r="R4" s="6">
        <v>22</v>
      </c>
      <c r="S4" s="6">
        <v>25</v>
      </c>
      <c r="T4" s="3" t="s">
        <v>68</v>
      </c>
      <c r="U4" s="4">
        <v>220</v>
      </c>
      <c r="V4" s="3" t="s">
        <v>62</v>
      </c>
      <c r="W4" s="7">
        <v>2</v>
      </c>
      <c r="X4" s="7">
        <v>2</v>
      </c>
      <c r="Y4" s="7">
        <v>4</v>
      </c>
    </row>
    <row r="5" spans="1:25" ht="14.5" customHeight="1" x14ac:dyDescent="0.35">
      <c r="A5" s="24">
        <v>45478</v>
      </c>
      <c r="B5" s="2" t="s">
        <v>254</v>
      </c>
      <c r="C5" s="2" t="s">
        <v>243</v>
      </c>
      <c r="D5" s="26"/>
      <c r="E5" s="26" t="s">
        <v>255</v>
      </c>
      <c r="F5" s="26" t="s">
        <v>256</v>
      </c>
      <c r="G5" s="26"/>
      <c r="H5" s="26"/>
      <c r="I5" s="26"/>
      <c r="J5" s="26" t="s">
        <v>59</v>
      </c>
      <c r="K5" s="26" t="s">
        <v>90</v>
      </c>
      <c r="L5" s="2">
        <v>6</v>
      </c>
      <c r="M5" s="2"/>
      <c r="N5" s="26"/>
      <c r="O5" s="2">
        <v>3</v>
      </c>
      <c r="P5" s="5"/>
      <c r="Q5" s="5"/>
      <c r="R5" s="6"/>
      <c r="S5" s="6"/>
      <c r="T5" s="3"/>
      <c r="U5" s="4"/>
      <c r="V5" s="3"/>
      <c r="W5" s="7">
        <v>2</v>
      </c>
      <c r="X5" s="7">
        <v>6</v>
      </c>
      <c r="Y5" s="7">
        <v>12</v>
      </c>
    </row>
    <row r="6" spans="1:25" ht="14.5" customHeight="1" x14ac:dyDescent="0.35">
      <c r="A6" s="24">
        <v>45481</v>
      </c>
      <c r="B6" s="2" t="s">
        <v>254</v>
      </c>
      <c r="C6" s="2" t="s">
        <v>243</v>
      </c>
      <c r="D6" s="26"/>
      <c r="E6" s="26" t="s">
        <v>255</v>
      </c>
      <c r="F6" s="26" t="s">
        <v>256</v>
      </c>
      <c r="G6" s="26"/>
      <c r="H6" s="26"/>
      <c r="I6" s="26"/>
      <c r="J6" s="26" t="s">
        <v>1</v>
      </c>
      <c r="K6" s="26" t="s">
        <v>2</v>
      </c>
      <c r="L6" s="2">
        <v>8</v>
      </c>
      <c r="M6" s="2"/>
      <c r="N6" s="26"/>
      <c r="O6" s="2">
        <v>2</v>
      </c>
      <c r="P6" s="5">
        <v>0.55000000000000004</v>
      </c>
      <c r="Q6" s="5">
        <v>0.62</v>
      </c>
      <c r="R6" s="6">
        <v>24</v>
      </c>
      <c r="S6" s="6">
        <v>24</v>
      </c>
      <c r="T6" s="3" t="s">
        <v>68</v>
      </c>
      <c r="U6" s="4">
        <v>220</v>
      </c>
      <c r="V6" s="3" t="s">
        <v>62</v>
      </c>
      <c r="W6" s="7">
        <v>2</v>
      </c>
      <c r="X6" s="7">
        <v>8</v>
      </c>
      <c r="Y6" s="7">
        <v>16</v>
      </c>
    </row>
    <row r="7" spans="1:25" ht="14.5" customHeight="1" x14ac:dyDescent="0.35">
      <c r="A7" s="24">
        <v>45482</v>
      </c>
      <c r="B7" s="2" t="s">
        <v>254</v>
      </c>
      <c r="C7" s="2" t="s">
        <v>243</v>
      </c>
      <c r="D7" s="26"/>
      <c r="E7" s="26" t="s">
        <v>255</v>
      </c>
      <c r="F7" s="26" t="s">
        <v>256</v>
      </c>
      <c r="G7" s="26"/>
      <c r="H7" s="26"/>
      <c r="I7" s="26"/>
      <c r="J7" s="26" t="s">
        <v>1</v>
      </c>
      <c r="K7" s="26" t="s">
        <v>80</v>
      </c>
      <c r="L7" s="2">
        <v>8</v>
      </c>
      <c r="M7" s="2"/>
      <c r="N7" s="26"/>
      <c r="O7" s="2">
        <v>1</v>
      </c>
      <c r="P7" s="5">
        <v>0.56000000000000005</v>
      </c>
      <c r="Q7" s="5">
        <v>0.6</v>
      </c>
      <c r="R7" s="6">
        <v>24</v>
      </c>
      <c r="S7" s="6">
        <v>24</v>
      </c>
      <c r="T7" s="3" t="s">
        <v>68</v>
      </c>
      <c r="U7" s="4">
        <v>220</v>
      </c>
      <c r="V7" s="3" t="s">
        <v>62</v>
      </c>
      <c r="W7" s="7">
        <v>2</v>
      </c>
      <c r="X7" s="7">
        <v>8</v>
      </c>
      <c r="Y7" s="7">
        <v>16</v>
      </c>
    </row>
    <row r="8" spans="1:25" ht="14.5" customHeight="1" x14ac:dyDescent="0.35">
      <c r="A8" s="24">
        <v>45483</v>
      </c>
      <c r="B8" s="2" t="s">
        <v>254</v>
      </c>
      <c r="C8" s="2" t="s">
        <v>243</v>
      </c>
      <c r="D8" s="26"/>
      <c r="E8" s="26" t="s">
        <v>256</v>
      </c>
      <c r="F8" s="26"/>
      <c r="G8" s="26"/>
      <c r="H8" s="26"/>
      <c r="I8" s="26"/>
      <c r="J8" s="26" t="s">
        <v>84</v>
      </c>
      <c r="K8" s="26" t="s">
        <v>103</v>
      </c>
      <c r="L8" s="2">
        <v>8</v>
      </c>
      <c r="M8" s="2"/>
      <c r="N8" s="26"/>
      <c r="O8" s="2">
        <v>2</v>
      </c>
      <c r="P8" s="5">
        <v>0.75</v>
      </c>
      <c r="Q8" s="5">
        <v>0.8</v>
      </c>
      <c r="R8" s="6">
        <v>22</v>
      </c>
      <c r="S8" s="6">
        <v>34</v>
      </c>
      <c r="T8" s="3"/>
      <c r="U8" s="4"/>
      <c r="V8" s="3"/>
      <c r="W8" s="7">
        <v>1</v>
      </c>
      <c r="X8" s="7">
        <v>8</v>
      </c>
      <c r="Y8" s="7">
        <v>8</v>
      </c>
    </row>
    <row r="9" spans="1:25" x14ac:dyDescent="0.35">
      <c r="A9" s="24">
        <v>45484</v>
      </c>
      <c r="B9" s="2" t="s">
        <v>254</v>
      </c>
      <c r="C9" s="2" t="s">
        <v>243</v>
      </c>
      <c r="D9" s="26"/>
      <c r="E9" s="26" t="s">
        <v>256</v>
      </c>
      <c r="F9" s="26"/>
      <c r="G9" s="26"/>
      <c r="H9" s="26"/>
      <c r="I9" s="26"/>
      <c r="J9" s="26" t="s">
        <v>107</v>
      </c>
      <c r="K9" s="26"/>
      <c r="L9" s="2">
        <v>2.25</v>
      </c>
      <c r="M9" s="2"/>
      <c r="N9" s="26"/>
      <c r="O9" s="2">
        <v>0</v>
      </c>
      <c r="P9" s="5">
        <v>0.52</v>
      </c>
      <c r="Q9" s="5">
        <v>0.56999999999999995</v>
      </c>
      <c r="R9" s="6">
        <v>18</v>
      </c>
      <c r="S9" s="6">
        <v>30</v>
      </c>
      <c r="T9" s="3" t="s">
        <v>68</v>
      </c>
      <c r="U9" s="4">
        <v>220</v>
      </c>
      <c r="V9" s="3" t="s">
        <v>68</v>
      </c>
      <c r="W9" s="7">
        <v>1</v>
      </c>
      <c r="X9" s="7">
        <v>2.25</v>
      </c>
      <c r="Y9" s="7">
        <v>2.25</v>
      </c>
    </row>
    <row r="10" spans="1:25" ht="14.5" customHeight="1" x14ac:dyDescent="0.35">
      <c r="A10" s="24">
        <v>45484</v>
      </c>
      <c r="B10" s="2" t="s">
        <v>254</v>
      </c>
      <c r="C10" s="2" t="s">
        <v>243</v>
      </c>
      <c r="D10" s="26"/>
      <c r="E10" s="26" t="s">
        <v>256</v>
      </c>
      <c r="F10" s="26"/>
      <c r="G10" s="26"/>
      <c r="H10" s="26"/>
      <c r="I10" s="26"/>
      <c r="J10" s="26" t="s">
        <v>191</v>
      </c>
      <c r="K10" s="26" t="s">
        <v>65</v>
      </c>
      <c r="L10" s="2">
        <v>4</v>
      </c>
      <c r="M10" s="2"/>
      <c r="N10" s="26"/>
      <c r="O10" s="2">
        <v>0</v>
      </c>
      <c r="P10" s="5"/>
      <c r="Q10" s="5"/>
      <c r="R10" s="6"/>
      <c r="S10" s="6"/>
      <c r="T10" s="3"/>
      <c r="U10" s="4"/>
      <c r="V10" s="3"/>
      <c r="W10" s="7">
        <v>1</v>
      </c>
      <c r="X10" s="7">
        <v>4</v>
      </c>
      <c r="Y10" s="7">
        <v>4</v>
      </c>
    </row>
    <row r="11" spans="1:25" ht="14.5" customHeight="1" x14ac:dyDescent="0.35">
      <c r="A11" s="24">
        <v>45484</v>
      </c>
      <c r="B11" s="2" t="s">
        <v>254</v>
      </c>
      <c r="C11" s="2" t="s">
        <v>243</v>
      </c>
      <c r="D11" s="26"/>
      <c r="E11" s="26" t="s">
        <v>256</v>
      </c>
      <c r="F11" s="26"/>
      <c r="G11" s="26"/>
      <c r="H11" s="26"/>
      <c r="I11" s="26"/>
      <c r="J11" s="26" t="s">
        <v>61</v>
      </c>
      <c r="K11" s="26" t="s">
        <v>90</v>
      </c>
      <c r="L11" s="2">
        <v>1.75</v>
      </c>
      <c r="M11" s="2">
        <v>2</v>
      </c>
      <c r="N11" s="26"/>
      <c r="O11" s="2">
        <v>0</v>
      </c>
      <c r="P11" s="5"/>
      <c r="Q11" s="5"/>
      <c r="R11" s="6"/>
      <c r="S11" s="6"/>
      <c r="T11" s="3"/>
      <c r="U11" s="4"/>
      <c r="V11" s="3"/>
      <c r="W11" s="7">
        <v>1</v>
      </c>
      <c r="X11" s="7">
        <v>3.75</v>
      </c>
      <c r="Y11" s="7">
        <v>3.75</v>
      </c>
    </row>
    <row r="12" spans="1:25" ht="14.5" customHeight="1" x14ac:dyDescent="0.35">
      <c r="A12" s="24"/>
      <c r="B12" s="2"/>
      <c r="C12" s="2"/>
      <c r="D12" s="26"/>
      <c r="E12" s="26"/>
      <c r="F12" s="26"/>
      <c r="G12" s="26"/>
      <c r="H12" s="26"/>
      <c r="I12" s="26"/>
      <c r="J12" s="26"/>
      <c r="K12" s="26"/>
      <c r="L12" s="2"/>
      <c r="M12" s="2"/>
      <c r="N12" s="26"/>
      <c r="O12" s="2"/>
      <c r="P12" s="5"/>
      <c r="Q12" s="5"/>
      <c r="R12" s="6"/>
      <c r="S12" s="6"/>
      <c r="T12" s="3"/>
      <c r="U12" s="4"/>
      <c r="V12" s="3"/>
      <c r="W12" s="7" t="s">
        <v>265</v>
      </c>
      <c r="X12" s="7" t="s">
        <v>265</v>
      </c>
      <c r="Y12" s="7" t="s">
        <v>265</v>
      </c>
    </row>
    <row r="13" spans="1:25" ht="14.5" customHeight="1" x14ac:dyDescent="0.35">
      <c r="A13" s="24"/>
      <c r="B13" s="2"/>
      <c r="C13" s="2"/>
      <c r="D13" s="26"/>
      <c r="E13" s="26"/>
      <c r="F13" s="26"/>
      <c r="G13" s="26"/>
      <c r="H13" s="26"/>
      <c r="I13" s="26"/>
      <c r="J13" s="26"/>
      <c r="K13" s="26"/>
      <c r="L13" s="2"/>
      <c r="M13" s="2"/>
      <c r="N13" s="26"/>
      <c r="O13" s="2"/>
      <c r="P13" s="5"/>
      <c r="Q13" s="5"/>
      <c r="R13" s="6"/>
      <c r="S13" s="6"/>
      <c r="T13" s="3"/>
      <c r="U13" s="4"/>
      <c r="V13" s="3"/>
      <c r="W13" s="7" t="s">
        <v>265</v>
      </c>
      <c r="X13" s="7" t="s">
        <v>265</v>
      </c>
      <c r="Y13" s="7" t="s">
        <v>265</v>
      </c>
    </row>
    <row r="14" spans="1:25" x14ac:dyDescent="0.35">
      <c r="A14" s="23"/>
    </row>
    <row r="15" spans="1:25" x14ac:dyDescent="0.35">
      <c r="A15" s="23"/>
    </row>
    <row r="16" spans="1:25" x14ac:dyDescent="0.35">
      <c r="A16" s="23"/>
    </row>
    <row r="17" spans="1:25" ht="14.5" customHeight="1" x14ac:dyDescent="0.35">
      <c r="A17" s="45" t="s">
        <v>266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</row>
    <row r="18" spans="1:25" ht="14.5" customHeight="1" x14ac:dyDescent="0.35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</row>
    <row r="19" spans="1:25" ht="14.5" customHeight="1" x14ac:dyDescent="0.35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</row>
    <row r="20" spans="1:25" ht="14.5" customHeight="1" x14ac:dyDescent="0.35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</row>
    <row r="21" spans="1:25" ht="14.5" customHeight="1" x14ac:dyDescent="0.35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</row>
    <row r="22" spans="1:25" ht="14.5" hidden="1" customHeight="1" x14ac:dyDescent="0.35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</row>
    <row r="23" spans="1:25" ht="14.5" hidden="1" customHeight="1" x14ac:dyDescent="0.35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</row>
    <row r="24" spans="1:25" ht="14.5" hidden="1" customHeight="1" x14ac:dyDescent="0.35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</row>
  </sheetData>
  <sheetProtection algorithmName="SHA-512" hashValue="jEOT/0yEoPSfFHzv1qmBETjtAFGM3e6nEggBjfrmagaVGV+EV9QaGpxjZPMFPcll4pUTBjkYBP4n4BBY9tYmJQ==" saltValue="YOwIr4ep+7MtCJRuVXcfAQ==" spinCount="100000" sheet="1" objects="1" scenarios="1" selectLockedCells="1" selectUnlockedCells="1"/>
  <mergeCells count="4">
    <mergeCell ref="F1:P1"/>
    <mergeCell ref="P2:T2"/>
    <mergeCell ref="A17:Y24"/>
    <mergeCell ref="Q1:R1"/>
  </mergeCells>
  <conditionalFormatting sqref="A4:V13">
    <cfRule type="expression" dxfId="0" priority="1">
      <formula>$J4="Standby"</formula>
    </cfRule>
  </conditionalFormatting>
  <dataValidations disablePrompts="1" count="6">
    <dataValidation type="decimal" allowBlank="1" showInputMessage="1" showErrorMessage="1" errorTitle="Wrong Input" error="Please input a number_x000a_" sqref="U4:U13" xr:uid="{00000000-0002-0000-0100-000000000000}">
      <formula1>0</formula1>
      <formula2>999</formula2>
    </dataValidation>
    <dataValidation type="decimal" allowBlank="1" showInputMessage="1" showErrorMessage="1" errorTitle="Wrong Input" error="Please input a number" sqref="R4:S13" xr:uid="{00000000-0002-0000-0100-000001000000}">
      <formula1>-50</formula1>
      <formula2>100</formula2>
    </dataValidation>
    <dataValidation type="decimal" allowBlank="1" showInputMessage="1" showErrorMessage="1" errorTitle="Wrong Input" error="Please input a number" sqref="P4:Q13" xr:uid="{00000000-0002-0000-0100-000002000000}">
      <formula1>0</formula1>
      <formula2>100</formula2>
    </dataValidation>
    <dataValidation type="decimal" allowBlank="1" showInputMessage="1" showErrorMessage="1" errorTitle="Only number input" error="Please input hours remaining as decimal number" sqref="O4:O13" xr:uid="{00000000-0002-0000-0100-000003000000}">
      <formula1>0</formula1>
      <formula2>999999</formula2>
    </dataValidation>
    <dataValidation type="date" allowBlank="1" showInputMessage="1" showErrorMessage="1" errorTitle="Wrong Input" error="Please Input the date as in format:_x000a_day / month / year_x000a__x000a_Eg : 01/03/2024" sqref="A4:A13" xr:uid="{00000000-0002-0000-0100-000004000000}">
      <formula1>42005</formula1>
      <formula2>72686</formula2>
    </dataValidation>
    <dataValidation type="list" allowBlank="1" showInputMessage="1" showErrorMessage="1" sqref="K4:K13" xr:uid="{00000000-0002-0000-0100-000005000000}">
      <formula1>INDIRECT(SUBSTITUTE(J4," ","_"))</formula1>
    </dataValidation>
  </dataValidations>
  <pageMargins left="0.7" right="0.7" top="0.75" bottom="0.75" header="0.3" footer="0.3"/>
  <pageSetup orientation="portrait" horizontalDpi="300" verticalDpi="300" r:id="rId1"/>
  <headerFooter>
    <oddHeader>&amp;C&amp;"Verdana"&amp;10&amp;K000000 Classification: Public&amp;1#_x000D_</oddHeader>
  </headerFooter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00000000-0002-0000-0100-000008000000}">
          <x14:formula1>
            <xm:f>dropdowns!#REF!</xm:f>
          </x14:formula1>
          <xm:sqref>L4:M13 V4:V13 T4:T13 C4:C13</xm:sqref>
        </x14:dataValidation>
        <x14:dataValidation type="list" allowBlank="1" showInputMessage="1" showErrorMessage="1" xr:uid="{00000000-0002-0000-0100-000007000000}">
          <x14:formula1>
            <xm:f>dropdowns!$A$2:$A$18</xm:f>
          </x14:formula1>
          <xm:sqref>J4:J13</xm:sqref>
        </x14:dataValidation>
        <x14:dataValidation type="list" showInputMessage="1" showErrorMessage="1" xr:uid="{00000000-0002-0000-0100-00000A000000}">
          <x14:formula1>
            <xm:f>Variables!$G1:$G6</xm:f>
          </x14:formula1>
          <xm:sqref>A2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37"/>
  <sheetViews>
    <sheetView zoomScale="115" zoomScaleNormal="115" workbookViewId="0">
      <selection activeCell="B27" sqref="B27"/>
    </sheetView>
  </sheetViews>
  <sheetFormatPr defaultColWidth="11.453125" defaultRowHeight="14.5" x14ac:dyDescent="0.35"/>
  <cols>
    <col min="1" max="1" width="23.81640625" style="38" bestFit="1" customWidth="1"/>
    <col min="2" max="2" width="30.08984375" style="38" bestFit="1" customWidth="1"/>
    <col min="3" max="3" width="10" style="38" bestFit="1" customWidth="1"/>
    <col min="4" max="4" width="18.26953125" style="38" bestFit="1" customWidth="1"/>
    <col min="5" max="5" width="32" style="38" customWidth="1"/>
    <col min="6" max="6" width="22.08984375" style="38" bestFit="1" customWidth="1"/>
    <col min="7" max="16384" width="11.453125" style="38"/>
  </cols>
  <sheetData>
    <row r="1" spans="1:6" x14ac:dyDescent="0.35">
      <c r="A1" s="36" t="s">
        <v>53</v>
      </c>
      <c r="B1" s="47" t="s">
        <v>54</v>
      </c>
      <c r="C1" s="47"/>
      <c r="D1" s="47"/>
      <c r="E1" s="47"/>
      <c r="F1" s="47"/>
    </row>
    <row r="2" spans="1:6" x14ac:dyDescent="0.35">
      <c r="A2" s="39" t="s">
        <v>292</v>
      </c>
      <c r="B2" s="40" t="s">
        <v>56</v>
      </c>
      <c r="C2" s="40" t="s">
        <v>298</v>
      </c>
      <c r="D2" s="40" t="s">
        <v>78</v>
      </c>
      <c r="E2" s="40" t="s">
        <v>58</v>
      </c>
      <c r="F2" s="41" t="s">
        <v>60</v>
      </c>
    </row>
    <row r="3" spans="1:6" x14ac:dyDescent="0.35">
      <c r="A3" s="39" t="s">
        <v>272</v>
      </c>
      <c r="B3" s="38" t="s">
        <v>104</v>
      </c>
      <c r="C3" s="37" t="s">
        <v>64</v>
      </c>
      <c r="D3" s="35" t="s">
        <v>81</v>
      </c>
      <c r="E3" s="38" t="s">
        <v>300</v>
      </c>
      <c r="F3" s="38" t="s">
        <v>67</v>
      </c>
    </row>
    <row r="4" spans="1:6" x14ac:dyDescent="0.35">
      <c r="A4" s="39" t="s">
        <v>271</v>
      </c>
      <c r="B4" s="34" t="s">
        <v>79</v>
      </c>
      <c r="C4" s="37" t="s">
        <v>70</v>
      </c>
      <c r="D4" s="35" t="s">
        <v>87</v>
      </c>
      <c r="E4" s="38" t="s">
        <v>66</v>
      </c>
      <c r="F4" s="38" t="s">
        <v>73</v>
      </c>
    </row>
    <row r="5" spans="1:6" ht="14.5" customHeight="1" x14ac:dyDescent="0.35">
      <c r="A5" s="34" t="s">
        <v>59</v>
      </c>
      <c r="B5" s="34" t="s">
        <v>74</v>
      </c>
      <c r="C5" s="37" t="s">
        <v>2</v>
      </c>
      <c r="D5" s="35" t="s">
        <v>75</v>
      </c>
      <c r="E5" s="38" t="s">
        <v>72</v>
      </c>
      <c r="F5" s="38" t="s">
        <v>77</v>
      </c>
    </row>
    <row r="6" spans="1:6" x14ac:dyDescent="0.35">
      <c r="A6" s="39" t="s">
        <v>297</v>
      </c>
      <c r="B6" s="38" t="s">
        <v>108</v>
      </c>
      <c r="C6" s="37" t="s">
        <v>80</v>
      </c>
      <c r="D6" s="35" t="s">
        <v>71</v>
      </c>
      <c r="E6" s="38" t="s">
        <v>76</v>
      </c>
      <c r="F6" s="38" t="s">
        <v>83</v>
      </c>
    </row>
    <row r="7" spans="1:6" x14ac:dyDescent="0.35">
      <c r="A7" s="39" t="s">
        <v>294</v>
      </c>
      <c r="B7" s="34" t="s">
        <v>63</v>
      </c>
      <c r="C7" s="37" t="s">
        <v>86</v>
      </c>
      <c r="D7" s="35" t="s">
        <v>91</v>
      </c>
      <c r="E7" s="38" t="s">
        <v>299</v>
      </c>
    </row>
    <row r="8" spans="1:6" x14ac:dyDescent="0.35">
      <c r="A8" s="39" t="s">
        <v>293</v>
      </c>
      <c r="B8" s="34" t="s">
        <v>69</v>
      </c>
      <c r="C8" s="37" t="s">
        <v>90</v>
      </c>
      <c r="D8" s="35" t="s">
        <v>65</v>
      </c>
      <c r="E8" s="38" t="s">
        <v>287</v>
      </c>
    </row>
    <row r="9" spans="1:6" x14ac:dyDescent="0.35">
      <c r="A9" s="39" t="s">
        <v>295</v>
      </c>
      <c r="B9" s="38" t="s">
        <v>282</v>
      </c>
      <c r="C9" s="37" t="s">
        <v>94</v>
      </c>
      <c r="D9" s="38" t="s">
        <v>95</v>
      </c>
      <c r="E9" s="38" t="s">
        <v>82</v>
      </c>
    </row>
    <row r="10" spans="1:6" x14ac:dyDescent="0.35">
      <c r="A10" s="34" t="s">
        <v>1</v>
      </c>
      <c r="B10" s="38" t="s">
        <v>101</v>
      </c>
      <c r="C10" s="37" t="s">
        <v>98</v>
      </c>
      <c r="E10" s="38" t="s">
        <v>88</v>
      </c>
    </row>
    <row r="11" spans="1:6" x14ac:dyDescent="0.35">
      <c r="A11" s="39" t="s">
        <v>291</v>
      </c>
      <c r="B11" s="38" t="s">
        <v>93</v>
      </c>
      <c r="C11" s="37" t="s">
        <v>102</v>
      </c>
      <c r="E11" s="38" t="s">
        <v>96</v>
      </c>
    </row>
    <row r="12" spans="1:6" x14ac:dyDescent="0.35">
      <c r="A12" s="34" t="s">
        <v>290</v>
      </c>
      <c r="B12" s="38" t="s">
        <v>97</v>
      </c>
      <c r="C12" s="37" t="s">
        <v>105</v>
      </c>
      <c r="E12" s="38" t="s">
        <v>286</v>
      </c>
    </row>
    <row r="13" spans="1:6" x14ac:dyDescent="0.35">
      <c r="A13" s="39" t="s">
        <v>289</v>
      </c>
      <c r="B13" s="38" t="s">
        <v>89</v>
      </c>
      <c r="C13" s="37" t="s">
        <v>109</v>
      </c>
      <c r="E13" s="38" t="s">
        <v>92</v>
      </c>
    </row>
    <row r="14" spans="1:6" x14ac:dyDescent="0.35">
      <c r="A14" s="39" t="s">
        <v>288</v>
      </c>
      <c r="B14" s="34" t="s">
        <v>85</v>
      </c>
      <c r="C14" s="37" t="s">
        <v>111</v>
      </c>
      <c r="E14" s="38" t="s">
        <v>99</v>
      </c>
    </row>
    <row r="15" spans="1:6" x14ac:dyDescent="0.35">
      <c r="A15" s="39" t="s">
        <v>285</v>
      </c>
      <c r="C15" s="37" t="s">
        <v>114</v>
      </c>
      <c r="E15" s="34" t="s">
        <v>103</v>
      </c>
    </row>
    <row r="16" spans="1:6" x14ac:dyDescent="0.35">
      <c r="A16" s="34" t="s">
        <v>57</v>
      </c>
      <c r="C16" s="37" t="s">
        <v>117</v>
      </c>
      <c r="E16" s="34" t="s">
        <v>106</v>
      </c>
    </row>
    <row r="17" spans="1:5" x14ac:dyDescent="0.35">
      <c r="A17" s="34" t="s">
        <v>55</v>
      </c>
      <c r="C17" s="37" t="s">
        <v>118</v>
      </c>
      <c r="E17" s="34" t="s">
        <v>110</v>
      </c>
    </row>
    <row r="18" spans="1:5" x14ac:dyDescent="0.35">
      <c r="A18" s="39" t="s">
        <v>301</v>
      </c>
      <c r="C18" s="37" t="s">
        <v>119</v>
      </c>
      <c r="E18" s="34" t="s">
        <v>112</v>
      </c>
    </row>
    <row r="19" spans="1:5" x14ac:dyDescent="0.35">
      <c r="A19" s="39" t="s">
        <v>277</v>
      </c>
      <c r="C19" s="37" t="s">
        <v>120</v>
      </c>
      <c r="E19" s="34" t="s">
        <v>115</v>
      </c>
    </row>
    <row r="20" spans="1:5" x14ac:dyDescent="0.35">
      <c r="A20" s="39" t="s">
        <v>273</v>
      </c>
    </row>
    <row r="21" spans="1:5" x14ac:dyDescent="0.35">
      <c r="A21" s="39" t="s">
        <v>275</v>
      </c>
    </row>
    <row r="22" spans="1:5" x14ac:dyDescent="0.35">
      <c r="A22" s="39" t="s">
        <v>279</v>
      </c>
    </row>
    <row r="23" spans="1:5" x14ac:dyDescent="0.35">
      <c r="A23" s="39" t="s">
        <v>269</v>
      </c>
    </row>
    <row r="24" spans="1:5" x14ac:dyDescent="0.35">
      <c r="A24" s="39" t="s">
        <v>270</v>
      </c>
    </row>
    <row r="25" spans="1:5" x14ac:dyDescent="0.35">
      <c r="A25" s="39" t="s">
        <v>274</v>
      </c>
    </row>
    <row r="26" spans="1:5" x14ac:dyDescent="0.35">
      <c r="A26" s="39" t="s">
        <v>281</v>
      </c>
    </row>
    <row r="27" spans="1:5" x14ac:dyDescent="0.35">
      <c r="A27" s="39" t="s">
        <v>296</v>
      </c>
    </row>
    <row r="28" spans="1:5" x14ac:dyDescent="0.35">
      <c r="A28" s="39" t="s">
        <v>280</v>
      </c>
    </row>
    <row r="29" spans="1:5" x14ac:dyDescent="0.35">
      <c r="A29" s="39" t="s">
        <v>276</v>
      </c>
    </row>
    <row r="30" spans="1:5" x14ac:dyDescent="0.35">
      <c r="A30" s="39" t="s">
        <v>278</v>
      </c>
    </row>
    <row r="31" spans="1:5" x14ac:dyDescent="0.35">
      <c r="A31" s="39" t="s">
        <v>283</v>
      </c>
    </row>
    <row r="32" spans="1:5" x14ac:dyDescent="0.35">
      <c r="A32" s="34" t="s">
        <v>284</v>
      </c>
    </row>
    <row r="33" spans="1:1" x14ac:dyDescent="0.35">
      <c r="A33" s="39" t="s">
        <v>191</v>
      </c>
    </row>
    <row r="34" spans="1:1" x14ac:dyDescent="0.35">
      <c r="A34" s="39" t="s">
        <v>84</v>
      </c>
    </row>
    <row r="35" spans="1:1" x14ac:dyDescent="0.35">
      <c r="A35" s="39" t="s">
        <v>116</v>
      </c>
    </row>
    <row r="36" spans="1:1" x14ac:dyDescent="0.35">
      <c r="A36" s="39" t="s">
        <v>113</v>
      </c>
    </row>
    <row r="37" spans="1:1" x14ac:dyDescent="0.35">
      <c r="A37" s="39" t="s">
        <v>100</v>
      </c>
    </row>
  </sheetData>
  <mergeCells count="1">
    <mergeCell ref="B1:F1"/>
  </mergeCells>
  <phoneticPr fontId="4" type="noConversion"/>
  <pageMargins left="0.7" right="0.7" top="0.78740157499999996" bottom="0.78740157499999996" header="0.3" footer="0.3"/>
  <pageSetup orientation="portrait" r:id="rId1"/>
  <headerFooter>
    <oddHeader>&amp;C&amp;"Verdana"&amp;10&amp;K000000 Classification: Public&amp;1#_x000D_</oddHeader>
  </headerFooter>
  <tableParts count="6"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AM12"/>
  <sheetViews>
    <sheetView topLeftCell="B1" workbookViewId="0">
      <selection activeCell="I4" sqref="I4"/>
    </sheetView>
  </sheetViews>
  <sheetFormatPr defaultRowHeight="14.5" x14ac:dyDescent="0.35"/>
  <cols>
    <col min="1" max="1" width="18.54296875" bestFit="1" customWidth="1"/>
    <col min="2" max="2" width="87.81640625" bestFit="1" customWidth="1"/>
    <col min="3" max="3" width="24.81640625" bestFit="1" customWidth="1"/>
    <col min="6" max="6" width="8.7265625" customWidth="1"/>
    <col min="7" max="7" width="9.1796875" bestFit="1" customWidth="1"/>
    <col min="8" max="8" width="10.1796875" customWidth="1"/>
    <col min="9" max="9" width="13.54296875" bestFit="1" customWidth="1"/>
    <col min="10" max="10" width="13.54296875" customWidth="1"/>
    <col min="11" max="11" width="27.453125" bestFit="1" customWidth="1"/>
    <col min="12" max="12" width="11.1796875" bestFit="1" customWidth="1"/>
    <col min="13" max="13" width="10.54296875" customWidth="1"/>
    <col min="14" max="16" width="9.54296875" bestFit="1" customWidth="1"/>
    <col min="17" max="17" width="15" customWidth="1"/>
    <col min="18" max="18" width="12.54296875" bestFit="1" customWidth="1"/>
    <col min="19" max="19" width="9.54296875" customWidth="1"/>
    <col min="20" max="20" width="8.1796875" bestFit="1" customWidth="1"/>
    <col min="21" max="21" width="9.81640625" bestFit="1" customWidth="1"/>
    <col min="22" max="22" width="18.1796875" bestFit="1" customWidth="1"/>
    <col min="27" max="27" width="11.1796875" customWidth="1"/>
    <col min="28" max="28" width="46.453125" bestFit="1" customWidth="1"/>
    <col min="29" max="29" width="15" customWidth="1"/>
    <col min="30" max="30" width="9.1796875" bestFit="1" customWidth="1"/>
    <col min="31" max="31" width="10.453125" customWidth="1"/>
    <col min="32" max="32" width="10" customWidth="1"/>
    <col min="34" max="34" width="24.54296875" bestFit="1" customWidth="1"/>
    <col min="40" max="40" width="10.1796875" bestFit="1" customWidth="1"/>
  </cols>
  <sheetData>
    <row r="1" spans="1:39" ht="43.5" x14ac:dyDescent="0.35">
      <c r="A1" s="12" t="s">
        <v>51</v>
      </c>
      <c r="B1" s="12">
        <v>0</v>
      </c>
      <c r="G1" s="17" t="s">
        <v>0</v>
      </c>
      <c r="H1" s="17" t="s">
        <v>3</v>
      </c>
      <c r="I1" s="18" t="s">
        <v>4</v>
      </c>
      <c r="J1" s="18" t="s">
        <v>14</v>
      </c>
      <c r="K1" s="18" t="s">
        <v>5</v>
      </c>
      <c r="L1" s="18" t="s">
        <v>6</v>
      </c>
      <c r="M1" s="18" t="s">
        <v>7</v>
      </c>
      <c r="N1" s="18" t="s">
        <v>8</v>
      </c>
      <c r="O1" s="18" t="s">
        <v>9</v>
      </c>
      <c r="P1" s="18" t="s">
        <v>10</v>
      </c>
      <c r="Q1" s="18" t="s">
        <v>11</v>
      </c>
      <c r="R1" s="18" t="s">
        <v>12</v>
      </c>
      <c r="S1" s="18" t="s">
        <v>268</v>
      </c>
      <c r="T1" s="18" t="s">
        <v>13</v>
      </c>
      <c r="U1" s="17" t="s">
        <v>15</v>
      </c>
      <c r="V1" s="18" t="s">
        <v>252</v>
      </c>
      <c r="W1" s="18" t="s">
        <v>245</v>
      </c>
      <c r="X1" s="18" t="s">
        <v>244</v>
      </c>
      <c r="Y1" s="17" t="s">
        <v>22</v>
      </c>
      <c r="Z1" s="17" t="s">
        <v>23</v>
      </c>
      <c r="AA1" s="17" t="s">
        <v>24</v>
      </c>
      <c r="AB1" s="18" t="s">
        <v>235</v>
      </c>
      <c r="AC1" s="18" t="s">
        <v>238</v>
      </c>
      <c r="AD1" s="18" t="s">
        <v>16</v>
      </c>
      <c r="AE1" s="18" t="s">
        <v>17</v>
      </c>
      <c r="AF1" s="18" t="s">
        <v>242</v>
      </c>
      <c r="AG1" s="17" t="s">
        <v>18</v>
      </c>
      <c r="AH1" s="17" t="s">
        <v>19</v>
      </c>
      <c r="AI1" s="17"/>
      <c r="AJ1" s="17" t="s">
        <v>20</v>
      </c>
      <c r="AK1" s="17" t="s">
        <v>21</v>
      </c>
      <c r="AL1" s="17" t="s">
        <v>249</v>
      </c>
      <c r="AM1" s="17" t="s">
        <v>25</v>
      </c>
    </row>
    <row r="2" spans="1:39" ht="43.5" x14ac:dyDescent="0.35">
      <c r="A2" t="s">
        <v>52</v>
      </c>
      <c r="B2" s="1"/>
      <c r="C2" s="12"/>
      <c r="G2" s="17" t="s">
        <v>26</v>
      </c>
      <c r="H2" s="18" t="s">
        <v>27</v>
      </c>
      <c r="I2" s="18" t="s">
        <v>28</v>
      </c>
      <c r="J2" s="18" t="s">
        <v>227</v>
      </c>
      <c r="K2" s="18" t="s">
        <v>29</v>
      </c>
      <c r="L2" s="18" t="s">
        <v>30</v>
      </c>
      <c r="M2" s="18" t="s">
        <v>31</v>
      </c>
      <c r="N2" s="18" t="s">
        <v>32</v>
      </c>
      <c r="O2" s="18" t="s">
        <v>33</v>
      </c>
      <c r="P2" s="18" t="s">
        <v>34</v>
      </c>
      <c r="Q2" s="18" t="s">
        <v>35</v>
      </c>
      <c r="R2" s="18" t="s">
        <v>36</v>
      </c>
      <c r="S2" s="18" t="s">
        <v>37</v>
      </c>
      <c r="T2" s="18" t="s">
        <v>38</v>
      </c>
      <c r="U2" s="18" t="s">
        <v>39</v>
      </c>
      <c r="V2" s="18" t="s">
        <v>230</v>
      </c>
      <c r="W2" s="18" t="s">
        <v>246</v>
      </c>
      <c r="X2" s="18" t="s">
        <v>247</v>
      </c>
      <c r="Y2" s="18" t="s">
        <v>47</v>
      </c>
      <c r="Z2" s="18" t="s">
        <v>48</v>
      </c>
      <c r="AA2" s="18" t="s">
        <v>49</v>
      </c>
      <c r="AB2" s="18" t="s">
        <v>236</v>
      </c>
      <c r="AC2" s="18" t="s">
        <v>257</v>
      </c>
      <c r="AD2" s="18" t="s">
        <v>40</v>
      </c>
      <c r="AE2" s="18" t="s">
        <v>41</v>
      </c>
      <c r="AF2" s="18" t="s">
        <v>42</v>
      </c>
      <c r="AG2" s="18" t="s">
        <v>43</v>
      </c>
      <c r="AH2" s="18" t="s">
        <v>44</v>
      </c>
      <c r="AI2" s="18"/>
      <c r="AJ2" s="17" t="s">
        <v>45</v>
      </c>
      <c r="AK2" s="18" t="s">
        <v>46</v>
      </c>
      <c r="AL2" s="28" t="s">
        <v>250</v>
      </c>
      <c r="AM2" s="18" t="s">
        <v>50</v>
      </c>
    </row>
    <row r="3" spans="1:39" ht="72.5" x14ac:dyDescent="0.35">
      <c r="A3" s="11" t="s">
        <v>192</v>
      </c>
      <c r="B3" t="str">
        <f>IFERROR(" Remaining Days : "&amp;Activities!O2&amp;" days"&amp;CHAR(10)&amp;" Total Time Spent : "&amp;Activities!X2&amp;" hours "&amp; "(Active:" &amp; Activities!X2 - $B$6  &amp; "/Standby:" &amp; $B$6 &amp; ")" &amp; CHAR(10)&amp;" Teamhour Spent : "&amp;Activities!Y2&amp;" hours","")</f>
        <v/>
      </c>
      <c r="C3" s="11"/>
      <c r="G3" s="17" t="s">
        <v>163</v>
      </c>
      <c r="H3" s="17" t="s">
        <v>121</v>
      </c>
      <c r="I3" s="18" t="s">
        <v>131</v>
      </c>
      <c r="J3" s="18" t="s">
        <v>226</v>
      </c>
      <c r="K3" s="18" t="s">
        <v>160</v>
      </c>
      <c r="L3" s="18" t="s">
        <v>133</v>
      </c>
      <c r="M3" s="18" t="s">
        <v>134</v>
      </c>
      <c r="N3" s="18" t="s">
        <v>135</v>
      </c>
      <c r="O3" s="18" t="s">
        <v>136</v>
      </c>
      <c r="P3" s="18" t="s">
        <v>137</v>
      </c>
      <c r="Q3" s="17" t="s">
        <v>122</v>
      </c>
      <c r="R3" s="18" t="s">
        <v>138</v>
      </c>
      <c r="S3" s="18" t="s">
        <v>140</v>
      </c>
      <c r="T3" s="18" t="s">
        <v>142</v>
      </c>
      <c r="U3" s="17" t="s">
        <v>123</v>
      </c>
      <c r="V3" s="18" t="s">
        <v>231</v>
      </c>
      <c r="W3" s="18" t="s">
        <v>152</v>
      </c>
      <c r="X3" s="18" t="s">
        <v>154</v>
      </c>
      <c r="Y3" s="18" t="s">
        <v>303</v>
      </c>
      <c r="Z3" s="18" t="s">
        <v>302</v>
      </c>
      <c r="AA3" s="18" t="s">
        <v>158</v>
      </c>
      <c r="AB3" s="18" t="s">
        <v>258</v>
      </c>
      <c r="AC3" s="18" t="s">
        <v>239</v>
      </c>
      <c r="AD3" s="18" t="s">
        <v>144</v>
      </c>
      <c r="AE3" s="18" t="s">
        <v>146</v>
      </c>
      <c r="AF3" s="18" t="s">
        <v>261</v>
      </c>
      <c r="AG3" s="18" t="s">
        <v>148</v>
      </c>
      <c r="AH3" s="18" t="s">
        <v>150</v>
      </c>
      <c r="AI3" s="17"/>
      <c r="AJ3" s="17" t="s">
        <v>124</v>
      </c>
      <c r="AK3" s="17" t="s">
        <v>125</v>
      </c>
      <c r="AL3" s="28" t="s">
        <v>164</v>
      </c>
      <c r="AM3" s="18" t="s">
        <v>217</v>
      </c>
    </row>
    <row r="4" spans="1:39" ht="72.5" x14ac:dyDescent="0.35">
      <c r="A4" s="11" t="s">
        <v>221</v>
      </c>
      <c r="B4" t="str">
        <f>IF(B3="","", " Total Standby " &amp; CHAR(10) &amp; $B$6 &amp; " hours")</f>
        <v/>
      </c>
      <c r="G4" s="17" t="s">
        <v>162</v>
      </c>
      <c r="H4" s="17" t="s">
        <v>126</v>
      </c>
      <c r="I4" s="18" t="s">
        <v>132</v>
      </c>
      <c r="J4" s="18" t="s">
        <v>225</v>
      </c>
      <c r="K4" s="18" t="s">
        <v>161</v>
      </c>
      <c r="L4" s="18" t="s">
        <v>133</v>
      </c>
      <c r="M4" s="18" t="s">
        <v>134</v>
      </c>
      <c r="N4" s="18" t="s">
        <v>135</v>
      </c>
      <c r="O4" s="18" t="s">
        <v>136</v>
      </c>
      <c r="P4" s="18" t="s">
        <v>137</v>
      </c>
      <c r="Q4" s="17" t="s">
        <v>127</v>
      </c>
      <c r="R4" s="18" t="s">
        <v>139</v>
      </c>
      <c r="S4" s="18" t="s">
        <v>141</v>
      </c>
      <c r="T4" s="18" t="s">
        <v>143</v>
      </c>
      <c r="U4" s="17" t="s">
        <v>128</v>
      </c>
      <c r="V4" s="18" t="s">
        <v>232</v>
      </c>
      <c r="W4" s="18" t="s">
        <v>153</v>
      </c>
      <c r="X4" s="18" t="s">
        <v>155</v>
      </c>
      <c r="Y4" s="18" t="s">
        <v>156</v>
      </c>
      <c r="Z4" s="18" t="s">
        <v>157</v>
      </c>
      <c r="AA4" s="18" t="s">
        <v>159</v>
      </c>
      <c r="AB4" s="18" t="s">
        <v>259</v>
      </c>
      <c r="AC4" s="18" t="s">
        <v>240</v>
      </c>
      <c r="AD4" s="18" t="s">
        <v>145</v>
      </c>
      <c r="AE4" s="18" t="s">
        <v>147</v>
      </c>
      <c r="AF4" s="18" t="s">
        <v>262</v>
      </c>
      <c r="AG4" s="18" t="s">
        <v>149</v>
      </c>
      <c r="AH4" s="18" t="s">
        <v>151</v>
      </c>
      <c r="AI4" s="17"/>
      <c r="AJ4" s="17" t="s">
        <v>129</v>
      </c>
      <c r="AK4" s="17" t="s">
        <v>130</v>
      </c>
      <c r="AL4" s="28" t="s">
        <v>165</v>
      </c>
      <c r="AM4" s="18" t="s">
        <v>218</v>
      </c>
    </row>
    <row r="5" spans="1:39" ht="43.5" x14ac:dyDescent="0.35">
      <c r="A5" s="11" t="s">
        <v>222</v>
      </c>
      <c r="B5" t="str">
        <f>IF(B3="","", " ISP Related : " &amp; SUMIFS(Activities!L5:L196,Activities!K5:K196,"ISP*")+SUMIFS(Activities!M5:M196,Activities!K5:K196,"ISP*") &amp; " hours" &amp; CHAR(10) &amp; " NX Related : " &amp; SUMIFS(Activities!L5:L196,Activities!K5:K196,"NX *")+SUMIFS(Activities!M5:M196,Activities!K5:K196,"NX*") &amp; " hours" &amp; CHAR(10) &amp; " Weather Related : " &amp; SUMIFS(Activities!L5:L196,Activities!K5:K196,"We*")+SUMIFS(Activities!M5:M196,Activities!K5:K196,"We*") &amp; " hours")</f>
        <v/>
      </c>
      <c r="C5" s="11"/>
      <c r="G5" s="20" t="s">
        <v>188</v>
      </c>
      <c r="H5" s="17" t="s">
        <v>166</v>
      </c>
      <c r="I5" s="18" t="s">
        <v>190</v>
      </c>
      <c r="J5" s="18" t="s">
        <v>228</v>
      </c>
      <c r="K5" s="18" t="s">
        <v>189</v>
      </c>
      <c r="L5" s="18" t="s">
        <v>172</v>
      </c>
      <c r="M5" s="18" t="s">
        <v>173</v>
      </c>
      <c r="N5" s="18" t="s">
        <v>174</v>
      </c>
      <c r="O5" s="18" t="s">
        <v>175</v>
      </c>
      <c r="P5" s="18" t="s">
        <v>176</v>
      </c>
      <c r="Q5" s="17" t="s">
        <v>167</v>
      </c>
      <c r="R5" s="18" t="s">
        <v>177</v>
      </c>
      <c r="S5" s="18" t="s">
        <v>178</v>
      </c>
      <c r="T5" s="18" t="s">
        <v>223</v>
      </c>
      <c r="U5" s="17" t="s">
        <v>168</v>
      </c>
      <c r="V5" s="18" t="s">
        <v>233</v>
      </c>
      <c r="W5" s="18" t="s">
        <v>182</v>
      </c>
      <c r="X5" s="19" t="s">
        <v>183</v>
      </c>
      <c r="Y5" s="18" t="s">
        <v>184</v>
      </c>
      <c r="Z5" s="18" t="s">
        <v>185</v>
      </c>
      <c r="AA5" s="18" t="s">
        <v>186</v>
      </c>
      <c r="AB5" s="18" t="s">
        <v>237</v>
      </c>
      <c r="AC5" s="18" t="s">
        <v>241</v>
      </c>
      <c r="AD5" s="18" t="s">
        <v>179</v>
      </c>
      <c r="AE5" s="17" t="s">
        <v>169</v>
      </c>
      <c r="AF5" s="18" t="s">
        <v>263</v>
      </c>
      <c r="AG5" s="18" t="s">
        <v>180</v>
      </c>
      <c r="AH5" s="18" t="s">
        <v>181</v>
      </c>
      <c r="AI5" s="17"/>
      <c r="AJ5" s="17" t="s">
        <v>170</v>
      </c>
      <c r="AK5" s="17" t="s">
        <v>171</v>
      </c>
      <c r="AL5" s="28" t="s">
        <v>187</v>
      </c>
      <c r="AM5" s="17" t="s">
        <v>219</v>
      </c>
    </row>
    <row r="6" spans="1:39" ht="72.5" x14ac:dyDescent="0.35">
      <c r="A6" t="s">
        <v>267</v>
      </c>
      <c r="B6">
        <f>SUMIFS(Activities!L5:L196,Activities!J5:J196,"Standby")+SUMIFS(Activities!M5:M196,Activities!J5:J196,"Standby")</f>
        <v>0</v>
      </c>
      <c r="C6" s="11"/>
      <c r="G6" s="20" t="s">
        <v>198</v>
      </c>
      <c r="H6" s="17" t="s">
        <v>3</v>
      </c>
      <c r="I6" s="18" t="s">
        <v>200</v>
      </c>
      <c r="J6" s="18" t="s">
        <v>224</v>
      </c>
      <c r="K6" s="18" t="s">
        <v>199</v>
      </c>
      <c r="L6" s="18" t="s">
        <v>201</v>
      </c>
      <c r="M6" s="18" t="s">
        <v>202</v>
      </c>
      <c r="N6" s="18" t="s">
        <v>203</v>
      </c>
      <c r="O6" s="18" t="s">
        <v>204</v>
      </c>
      <c r="P6" s="18" t="s">
        <v>205</v>
      </c>
      <c r="Q6" s="17" t="s">
        <v>193</v>
      </c>
      <c r="R6" s="18" t="s">
        <v>206</v>
      </c>
      <c r="S6" s="18" t="s">
        <v>207</v>
      </c>
      <c r="T6" s="18" t="s">
        <v>229</v>
      </c>
      <c r="U6" s="17" t="s">
        <v>194</v>
      </c>
      <c r="V6" s="18" t="s">
        <v>234</v>
      </c>
      <c r="W6" s="18" t="s">
        <v>212</v>
      </c>
      <c r="X6" s="18" t="s">
        <v>213</v>
      </c>
      <c r="Y6" s="18" t="s">
        <v>214</v>
      </c>
      <c r="Z6" s="18" t="s">
        <v>215</v>
      </c>
      <c r="AA6" s="18" t="s">
        <v>216</v>
      </c>
      <c r="AB6" s="18" t="s">
        <v>260</v>
      </c>
      <c r="AC6" s="18" t="s">
        <v>248</v>
      </c>
      <c r="AD6" s="18" t="s">
        <v>208</v>
      </c>
      <c r="AE6" s="18" t="s">
        <v>209</v>
      </c>
      <c r="AF6" s="18" t="s">
        <v>264</v>
      </c>
      <c r="AG6" s="18" t="s">
        <v>210</v>
      </c>
      <c r="AH6" s="18" t="s">
        <v>211</v>
      </c>
      <c r="AI6" s="17"/>
      <c r="AJ6" s="17" t="s">
        <v>195</v>
      </c>
      <c r="AK6" s="17" t="s">
        <v>196</v>
      </c>
      <c r="AL6" s="28" t="s">
        <v>197</v>
      </c>
      <c r="AM6" s="18" t="s">
        <v>220</v>
      </c>
    </row>
    <row r="7" spans="1:39" x14ac:dyDescent="0.35">
      <c r="A7" s="11"/>
      <c r="B7" s="11"/>
      <c r="C7" s="11"/>
    </row>
    <row r="8" spans="1:39" x14ac:dyDescent="0.35">
      <c r="A8" s="11"/>
      <c r="B8" s="11"/>
      <c r="C8" s="11"/>
    </row>
    <row r="9" spans="1:39" x14ac:dyDescent="0.35">
      <c r="A9" s="11"/>
      <c r="B9" s="11"/>
      <c r="C9" s="11"/>
    </row>
    <row r="10" spans="1:39" x14ac:dyDescent="0.35">
      <c r="A10" s="11"/>
      <c r="B10" s="11"/>
      <c r="C10" s="11"/>
    </row>
    <row r="11" spans="1:39" x14ac:dyDescent="0.35">
      <c r="A11" s="11"/>
      <c r="B11" s="11"/>
      <c r="C11" s="11"/>
    </row>
    <row r="12" spans="1:39" x14ac:dyDescent="0.35">
      <c r="C12" s="12"/>
    </row>
  </sheetData>
  <phoneticPr fontId="4" type="noConversion"/>
  <pageMargins left="0.7" right="0.7" top="0.75" bottom="0.75" header="0.3" footer="0.3"/>
  <pageSetup orientation="portrait" horizontalDpi="300" verticalDpi="300" r:id="rId1"/>
  <headerFooter>
    <oddHeader>&amp;C&amp;"Verdana"&amp;10&amp;K000000 Classification: Public&amp;1#_x000D_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0a098e3-be6b-4300-a785-7eca0379ea66">
      <Terms xmlns="http://schemas.microsoft.com/office/infopath/2007/PartnerControls"/>
    </lcf76f155ced4ddcb4097134ff3c332f>
    <TaxCatchAll xmlns="cae28517-ac80-47d7-a172-37746fa7517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F811896B93DC44B38F5CB4F51CA4C1" ma:contentTypeVersion="17" ma:contentTypeDescription="Create a new document." ma:contentTypeScope="" ma:versionID="31127a6eb867b888ade4eecb237dcd43">
  <xsd:schema xmlns:xsd="http://www.w3.org/2001/XMLSchema" xmlns:xs="http://www.w3.org/2001/XMLSchema" xmlns:p="http://schemas.microsoft.com/office/2006/metadata/properties" xmlns:ns2="40a098e3-be6b-4300-a785-7eca0379ea66" xmlns:ns3="cae28517-ac80-47d7-a172-37746fa75179" targetNamespace="http://schemas.microsoft.com/office/2006/metadata/properties" ma:root="true" ma:fieldsID="b32a7dbec1b903118a803fd9f2b88d99" ns2:_="" ns3:_="">
    <xsd:import namespace="40a098e3-be6b-4300-a785-7eca0379ea66"/>
    <xsd:import namespace="cae28517-ac80-47d7-a172-37746fa751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a098e3-be6b-4300-a785-7eca0379ea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9092b7a-6fd7-43c2-8140-0c41066b52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e28517-ac80-47d7-a172-37746fa7517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b050e28-4e65-4c21-8588-77242af501a9}" ma:internalName="TaxCatchAll" ma:showField="CatchAllData" ma:web="cae28517-ac80-47d7-a172-37746fa751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5987F7-D07B-43DE-BCD9-A570D673779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D73089-B899-4B8D-B984-27E82CC0554D}">
  <ds:schemaRefs>
    <ds:schemaRef ds:uri="http://purl.org/dc/dcmitype/"/>
    <ds:schemaRef ds:uri="http://purl.org/dc/terms/"/>
    <ds:schemaRef ds:uri="http://schemas.microsoft.com/office/infopath/2007/PartnerControls"/>
    <ds:schemaRef ds:uri="http://purl.org/dc/elements/1.1/"/>
    <ds:schemaRef ds:uri="40a098e3-be6b-4300-a785-7eca0379ea66"/>
    <ds:schemaRef ds:uri="http://schemas.microsoft.com/office/2006/documentManagement/types"/>
    <ds:schemaRef ds:uri="cae28517-ac80-47d7-a172-37746fa75179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09BD9B9-DF52-4F93-A56E-A4DF2249EB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a098e3-be6b-4300-a785-7eca0379ea66"/>
    <ds:schemaRef ds:uri="cae28517-ac80-47d7-a172-37746fa751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12</vt:i4>
      </vt:variant>
    </vt:vector>
  </HeadingPairs>
  <TitlesOfParts>
    <vt:vector size="16" baseType="lpstr">
      <vt:lpstr>Activities</vt:lpstr>
      <vt:lpstr>ReadMe</vt:lpstr>
      <vt:lpstr>dropdowns</vt:lpstr>
      <vt:lpstr>Variables</vt:lpstr>
      <vt:lpstr>Curing</vt:lpstr>
      <vt:lpstr>Grind</vt:lpstr>
      <vt:lpstr>Inspection_EOW</vt:lpstr>
      <vt:lpstr>Inspection_External</vt:lpstr>
      <vt:lpstr>Inspection_Internal</vt:lpstr>
      <vt:lpstr>Inspection_LPS</vt:lpstr>
      <vt:lpstr>Laminate</vt:lpstr>
      <vt:lpstr>Preparation</vt:lpstr>
      <vt:lpstr>Repair_Coating</vt:lpstr>
      <vt:lpstr>Repair_LEP</vt:lpstr>
      <vt:lpstr>Rework_of_Repairs</vt:lpstr>
      <vt:lpstr>Standby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Tek, Sarper</dc:creator>
  <cp:keywords/>
  <dc:description/>
  <cp:lastModifiedBy>Tek, Sarper</cp:lastModifiedBy>
  <cp:revision/>
  <dcterms:created xsi:type="dcterms:W3CDTF">2015-06-05T18:19:34Z</dcterms:created>
  <dcterms:modified xsi:type="dcterms:W3CDTF">2025-08-15T13:33:40Z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0x010100E0F811896B93DC44B38F5CB4F51CA4C1</vt:lpwstr>
  </property>
  <property fmtid="{D5CDD505-2E9C-101B-9397-08002B2CF9AE}" pid="4" name="MSIP_Label_3d5fb79b-ca57-4bca-9278-ef277cf9303a_Enabled">
    <vt:lpwstr>true</vt:lpwstr>
  </property>
  <property fmtid="{D5CDD505-2E9C-101B-9397-08002B2CF9AE}" pid="5" name="MSIP_Label_3d5fb79b-ca57-4bca-9278-ef277cf9303a_SetDate">
    <vt:lpwstr>2024-07-17T10:14:10Z</vt:lpwstr>
  </property>
  <property fmtid="{D5CDD505-2E9C-101B-9397-08002B2CF9AE}" pid="6" name="MSIP_Label_3d5fb79b-ca57-4bca-9278-ef277cf9303a_Method">
    <vt:lpwstr>Privileged</vt:lpwstr>
  </property>
  <property fmtid="{D5CDD505-2E9C-101B-9397-08002B2CF9AE}" pid="7" name="MSIP_Label_3d5fb79b-ca57-4bca-9278-ef277cf9303a_Name">
    <vt:lpwstr>3d5fb79b-ca57-4bca-9278-ef277cf9303a</vt:lpwstr>
  </property>
  <property fmtid="{D5CDD505-2E9C-101B-9397-08002B2CF9AE}" pid="8" name="MSIP_Label_3d5fb79b-ca57-4bca-9278-ef277cf9303a_SiteId">
    <vt:lpwstr>040d9c77-e8cc-4af3-9c44-1d24173c45b3</vt:lpwstr>
  </property>
  <property fmtid="{D5CDD505-2E9C-101B-9397-08002B2CF9AE}" pid="9" name="MSIP_Label_3d5fb79b-ca57-4bca-9278-ef277cf9303a_ActionId">
    <vt:lpwstr>c9f0bf70-e721-4c53-9858-40efa53fc998</vt:lpwstr>
  </property>
  <property fmtid="{D5CDD505-2E9C-101B-9397-08002B2CF9AE}" pid="10" name="MSIP_Label_3d5fb79b-ca57-4bca-9278-ef277cf9303a_ContentBits">
    <vt:lpwstr>1</vt:lpwstr>
  </property>
</Properties>
</file>